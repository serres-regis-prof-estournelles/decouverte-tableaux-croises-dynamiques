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4-TD management RS\TD4 tab croisés dyn découverte\"/>
    </mc:Choice>
  </mc:AlternateContent>
  <xr:revisionPtr revIDLastSave="0" documentId="8_{169C4225-43ED-4CBF-BFE4-EB339848777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etail" sheetId="2" r:id="rId1"/>
    <sheet name="Feuil1" sheetId="8" r:id="rId2"/>
    <sheet name="Feuil2" sheetId="4" r:id="rId3"/>
  </sheets>
  <definedNames>
    <definedName name="Copie_de_CORPS_FACTURE" localSheetId="0">detail!$A$1:$K$42</definedName>
    <definedName name="Copie_de_CORPS_FACTU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Q3" i="2" s="1"/>
  <c r="B3" i="2" s="1"/>
  <c r="P4" i="2"/>
  <c r="Q4" i="2" s="1"/>
  <c r="B4" i="2" s="1"/>
  <c r="P5" i="2"/>
  <c r="Q5" i="2" s="1"/>
  <c r="B5" i="2" s="1"/>
  <c r="P6" i="2"/>
  <c r="Q6" i="2" s="1"/>
  <c r="B6" i="2" s="1"/>
  <c r="P7" i="2"/>
  <c r="Q7" i="2" s="1"/>
  <c r="B7" i="2" s="1"/>
  <c r="P8" i="2"/>
  <c r="Q8" i="2" s="1"/>
  <c r="B8" i="2" s="1"/>
  <c r="P9" i="2"/>
  <c r="Q9" i="2" s="1"/>
  <c r="B9" i="2" s="1"/>
  <c r="P10" i="2"/>
  <c r="Q10" i="2" s="1"/>
  <c r="B10" i="2" s="1"/>
  <c r="P11" i="2"/>
  <c r="Q11" i="2" s="1"/>
  <c r="B11" i="2" s="1"/>
  <c r="P12" i="2"/>
  <c r="Q12" i="2" s="1"/>
  <c r="B12" i="2" s="1"/>
  <c r="P13" i="2"/>
  <c r="Q13" i="2" s="1"/>
  <c r="B13" i="2" s="1"/>
  <c r="P14" i="2"/>
  <c r="Q14" i="2" s="1"/>
  <c r="B14" i="2" s="1"/>
  <c r="P15" i="2"/>
  <c r="Q15" i="2" s="1"/>
  <c r="B15" i="2" s="1"/>
  <c r="P16" i="2"/>
  <c r="Q16" i="2" s="1"/>
  <c r="B16" i="2" s="1"/>
  <c r="P17" i="2"/>
  <c r="Q17" i="2" s="1"/>
  <c r="B17" i="2" s="1"/>
  <c r="P18" i="2"/>
  <c r="Q18" i="2" s="1"/>
  <c r="B18" i="2" s="1"/>
  <c r="P19" i="2"/>
  <c r="Q19" i="2" s="1"/>
  <c r="B19" i="2" s="1"/>
  <c r="P20" i="2"/>
  <c r="Q20" i="2" s="1"/>
  <c r="B20" i="2" s="1"/>
  <c r="P21" i="2"/>
  <c r="Q21" i="2" s="1"/>
  <c r="B21" i="2" s="1"/>
  <c r="P22" i="2"/>
  <c r="Q22" i="2" s="1"/>
  <c r="B22" i="2" s="1"/>
  <c r="P23" i="2"/>
  <c r="Q23" i="2" s="1"/>
  <c r="B23" i="2" s="1"/>
  <c r="P24" i="2"/>
  <c r="Q24" i="2" s="1"/>
  <c r="B24" i="2" s="1"/>
  <c r="P25" i="2"/>
  <c r="Q25" i="2" s="1"/>
  <c r="B25" i="2" s="1"/>
  <c r="P26" i="2"/>
  <c r="Q26" i="2" s="1"/>
  <c r="B26" i="2" s="1"/>
  <c r="P27" i="2"/>
  <c r="Q27" i="2" s="1"/>
  <c r="B27" i="2" s="1"/>
  <c r="P28" i="2"/>
  <c r="Q28" i="2" s="1"/>
  <c r="B28" i="2" s="1"/>
  <c r="P29" i="2"/>
  <c r="Q29" i="2" s="1"/>
  <c r="B29" i="2" s="1"/>
  <c r="P30" i="2"/>
  <c r="Q30" i="2" s="1"/>
  <c r="B30" i="2" s="1"/>
  <c r="P31" i="2"/>
  <c r="Q31" i="2" s="1"/>
  <c r="B31" i="2" s="1"/>
  <c r="P32" i="2"/>
  <c r="Q32" i="2" s="1"/>
  <c r="B32" i="2" s="1"/>
  <c r="P33" i="2"/>
  <c r="Q33" i="2" s="1"/>
  <c r="B33" i="2" s="1"/>
  <c r="P34" i="2"/>
  <c r="Q34" i="2" s="1"/>
  <c r="B34" i="2" s="1"/>
  <c r="P35" i="2"/>
  <c r="Q35" i="2" s="1"/>
  <c r="B35" i="2" s="1"/>
  <c r="P36" i="2"/>
  <c r="Q36" i="2" s="1"/>
  <c r="B36" i="2" s="1"/>
  <c r="P37" i="2"/>
  <c r="Q37" i="2" s="1"/>
  <c r="B37" i="2" s="1"/>
  <c r="P38" i="2"/>
  <c r="Q38" i="2" s="1"/>
  <c r="B38" i="2" s="1"/>
  <c r="P39" i="2"/>
  <c r="Q39" i="2" s="1"/>
  <c r="B39" i="2" s="1"/>
  <c r="P40" i="2"/>
  <c r="Q40" i="2" s="1"/>
  <c r="B40" i="2" s="1"/>
  <c r="P41" i="2"/>
  <c r="Q41" i="2" s="1"/>
  <c r="B41" i="2" s="1"/>
  <c r="P42" i="2"/>
  <c r="Q42" i="2" s="1"/>
  <c r="B42" i="2" s="1"/>
  <c r="P2" i="2"/>
  <c r="Q2" i="2" s="1"/>
  <c r="B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3" i="2"/>
  <c r="K2" i="2"/>
</calcChain>
</file>

<file path=xl/sharedStrings.xml><?xml version="1.0" encoding="utf-8"?>
<sst xmlns="http://schemas.openxmlformats.org/spreadsheetml/2006/main" count="134" uniqueCount="41">
  <si>
    <t>N°FAC</t>
  </si>
  <si>
    <t>DATEFAC</t>
  </si>
  <si>
    <t>NOMCLI</t>
  </si>
  <si>
    <t>CODECAT</t>
  </si>
  <si>
    <t>CODEART</t>
  </si>
  <si>
    <t>DESIGNART</t>
  </si>
  <si>
    <t>QTESFAC</t>
  </si>
  <si>
    <t>PUHT</t>
  </si>
  <si>
    <t>HT</t>
  </si>
  <si>
    <t>TVAART</t>
  </si>
  <si>
    <t>MTVA</t>
  </si>
  <si>
    <t>Joue Club</t>
  </si>
  <si>
    <t>ACC</t>
  </si>
  <si>
    <t>Transparents photocopieurs/10</t>
  </si>
  <si>
    <t>Stylo à transparents permanents</t>
  </si>
  <si>
    <t>MOB</t>
  </si>
  <si>
    <t>Boîte de CD-R 74 mn/10</t>
  </si>
  <si>
    <t>Support mural pour moniteur</t>
  </si>
  <si>
    <t>OUV</t>
  </si>
  <si>
    <t>Créer un site avec Front Page</t>
  </si>
  <si>
    <t>WebCam Sauni</t>
  </si>
  <si>
    <t>Kit de reconnaissance vocale pour PC</t>
  </si>
  <si>
    <t>Micropuce</t>
  </si>
  <si>
    <t>Le mémento du comptable débutant</t>
  </si>
  <si>
    <t>Crion</t>
  </si>
  <si>
    <t>Boîte de CD-RW /10</t>
  </si>
  <si>
    <t>Filtre anti-reflet pour moniteur</t>
  </si>
  <si>
    <t>Mécanord</t>
  </si>
  <si>
    <t>PAP</t>
  </si>
  <si>
    <t>Ramette papier multi usages</t>
  </si>
  <si>
    <t>Programmation en javascript</t>
  </si>
  <si>
    <t>Transparents manuels/10</t>
  </si>
  <si>
    <t>Stylo à transparents effaçables</t>
  </si>
  <si>
    <t>Assurance Azur</t>
  </si>
  <si>
    <t>Calulatrice scientifique Cazio</t>
  </si>
  <si>
    <t>Les grandes courants du management</t>
  </si>
  <si>
    <t>SériTech</t>
  </si>
  <si>
    <t>Boîtes de disquettes 3,5''/10</t>
  </si>
  <si>
    <t>CFR</t>
  </si>
  <si>
    <t>Alpha+</t>
  </si>
  <si>
    <t>Lycée Estournelles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</si>
</sst>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0"/>
      <name val="MS Sans Serif"/>
    </font>
    <font>
      <sz val="10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3" fillId="0" borderId="1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2" fontId="2" fillId="0" borderId="1" xfId="0" quotePrefix="1" applyNumberFormat="1" applyFont="1" applyBorder="1" applyAlignment="1">
      <alignment horizontal="center"/>
    </xf>
    <xf numFmtId="10" fontId="2" fillId="0" borderId="1" xfId="1" quotePrefix="1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/>
  <dimension ref="A1:Q43"/>
  <sheetViews>
    <sheetView tabSelected="1" workbookViewId="0">
      <selection activeCell="B4" sqref="B4"/>
    </sheetView>
  </sheetViews>
  <sheetFormatPr baseColWidth="10" defaultColWidth="9.140625" defaultRowHeight="12.75" x14ac:dyDescent="0.2"/>
  <cols>
    <col min="1" max="1" width="5.5703125" style="2" bestFit="1" customWidth="1"/>
    <col min="2" max="2" width="9.28515625" style="2" bestFit="1" customWidth="1"/>
    <col min="3" max="3" width="15.5703125" style="2" customWidth="1"/>
    <col min="4" max="4" width="8.85546875" style="2" customWidth="1"/>
    <col min="5" max="5" width="8.42578125" style="2" bestFit="1" customWidth="1"/>
    <col min="6" max="6" width="27.28515625" style="2" bestFit="1" customWidth="1"/>
    <col min="7" max="7" width="8" style="2" bestFit="1" customWidth="1"/>
    <col min="8" max="8" width="5.28515625" style="2" bestFit="1" customWidth="1"/>
    <col min="9" max="9" width="6.5703125" style="2" bestFit="1" customWidth="1"/>
    <col min="10" max="10" width="7.140625" style="2" bestFit="1" customWidth="1"/>
    <col min="11" max="11" width="5.28515625" style="2" bestFit="1" customWidth="1"/>
    <col min="12" max="13" width="9.140625" style="1"/>
    <col min="14" max="17" width="0" style="1" hidden="1" customWidth="1"/>
    <col min="18" max="16384" width="9.140625" style="1"/>
  </cols>
  <sheetData>
    <row r="1" spans="1:1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1"/>
    </row>
    <row r="2" spans="1:17" x14ac:dyDescent="0.2">
      <c r="A2" s="5">
        <v>1</v>
      </c>
      <c r="B2" s="6" t="str">
        <f ca="1">Q2</f>
        <v>5/3/2025</v>
      </c>
      <c r="C2" s="5" t="s">
        <v>11</v>
      </c>
      <c r="D2" s="5" t="s">
        <v>12</v>
      </c>
      <c r="E2" s="5">
        <v>1</v>
      </c>
      <c r="F2" s="5" t="s">
        <v>13</v>
      </c>
      <c r="G2" s="5">
        <v>10</v>
      </c>
      <c r="H2" s="7">
        <v>4.5734705924987793</v>
      </c>
      <c r="I2" s="7">
        <f>ROUND(G2*H2,2)</f>
        <v>45.73</v>
      </c>
      <c r="J2" s="8">
        <v>0.2</v>
      </c>
      <c r="K2" s="7">
        <f>J2*I2</f>
        <v>9.145999999999999</v>
      </c>
      <c r="L2" s="3"/>
      <c r="N2" s="1">
        <v>5</v>
      </c>
      <c r="O2" s="1">
        <v>3</v>
      </c>
      <c r="P2" s="1">
        <f ca="1">YEAR(TODAY())</f>
        <v>2025</v>
      </c>
      <c r="Q2" s="1" t="str">
        <f ca="1">CONCATENATE(N2,"/",O2,"/",P2)</f>
        <v>5/3/2025</v>
      </c>
    </row>
    <row r="3" spans="1:17" x14ac:dyDescent="0.2">
      <c r="A3" s="5">
        <v>1</v>
      </c>
      <c r="B3" s="6" t="str">
        <f t="shared" ref="B3:B42" ca="1" si="0">Q3</f>
        <v>5/3/2025</v>
      </c>
      <c r="C3" s="5" t="s">
        <v>11</v>
      </c>
      <c r="D3" s="5" t="s">
        <v>12</v>
      </c>
      <c r="E3" s="5">
        <v>4</v>
      </c>
      <c r="F3" s="5" t="s">
        <v>14</v>
      </c>
      <c r="G3" s="5">
        <v>3</v>
      </c>
      <c r="H3" s="7">
        <v>1.1433676481246948</v>
      </c>
      <c r="I3" s="7">
        <f t="shared" ref="I3:I42" si="1">ROUND(G3*H3,2)</f>
        <v>3.43</v>
      </c>
      <c r="J3" s="8">
        <v>0.2</v>
      </c>
      <c r="K3" s="7">
        <f>J3*I3</f>
        <v>0.68600000000000005</v>
      </c>
      <c r="L3" s="9"/>
      <c r="N3" s="1">
        <v>5</v>
      </c>
      <c r="O3" s="1">
        <v>3</v>
      </c>
      <c r="P3" s="1">
        <f t="shared" ref="P3:P42" ca="1" si="2">YEAR(TODAY())</f>
        <v>2025</v>
      </c>
      <c r="Q3" s="1" t="str">
        <f t="shared" ref="Q3:Q42" ca="1" si="3">CONCATENATE(N3,"/",O3,"/",P3)</f>
        <v>5/3/2025</v>
      </c>
    </row>
    <row r="4" spans="1:17" x14ac:dyDescent="0.2">
      <c r="A4" s="5">
        <v>1</v>
      </c>
      <c r="B4" s="6" t="str">
        <f t="shared" ca="1" si="0"/>
        <v>5/3/2025</v>
      </c>
      <c r="C4" s="5" t="s">
        <v>11</v>
      </c>
      <c r="D4" s="5" t="s">
        <v>15</v>
      </c>
      <c r="E4" s="5">
        <v>6</v>
      </c>
      <c r="F4" s="5" t="s">
        <v>16</v>
      </c>
      <c r="G4" s="5">
        <v>8</v>
      </c>
      <c r="H4" s="7">
        <v>15.092453002929688</v>
      </c>
      <c r="I4" s="7">
        <f t="shared" si="1"/>
        <v>120.74</v>
      </c>
      <c r="J4" s="8">
        <v>0.2</v>
      </c>
      <c r="K4" s="7">
        <f t="shared" ref="K4:K42" si="4">J4*I4</f>
        <v>24.148</v>
      </c>
      <c r="N4" s="1">
        <v>5</v>
      </c>
      <c r="O4" s="1">
        <v>3</v>
      </c>
      <c r="P4" s="1">
        <f t="shared" ca="1" si="2"/>
        <v>2025</v>
      </c>
      <c r="Q4" s="1" t="str">
        <f t="shared" ca="1" si="3"/>
        <v>5/3/2025</v>
      </c>
    </row>
    <row r="5" spans="1:17" x14ac:dyDescent="0.2">
      <c r="A5" s="5">
        <v>1</v>
      </c>
      <c r="B5" s="6" t="str">
        <f t="shared" ca="1" si="0"/>
        <v>5/3/2025</v>
      </c>
      <c r="C5" s="5" t="s">
        <v>11</v>
      </c>
      <c r="D5" s="5" t="s">
        <v>15</v>
      </c>
      <c r="E5" s="5">
        <v>12</v>
      </c>
      <c r="F5" s="5" t="s">
        <v>17</v>
      </c>
      <c r="G5" s="5">
        <v>2</v>
      </c>
      <c r="H5" s="7">
        <v>53.662055969238281</v>
      </c>
      <c r="I5" s="7">
        <f t="shared" si="1"/>
        <v>107.32</v>
      </c>
      <c r="J5" s="8">
        <v>0.2</v>
      </c>
      <c r="K5" s="7">
        <f t="shared" si="4"/>
        <v>21.463999999999999</v>
      </c>
      <c r="N5" s="1">
        <v>5</v>
      </c>
      <c r="O5" s="1">
        <v>3</v>
      </c>
      <c r="P5" s="1">
        <f t="shared" ca="1" si="2"/>
        <v>2025</v>
      </c>
      <c r="Q5" s="1" t="str">
        <f t="shared" ca="1" si="3"/>
        <v>5/3/2025</v>
      </c>
    </row>
    <row r="6" spans="1:17" x14ac:dyDescent="0.2">
      <c r="A6" s="5">
        <v>1</v>
      </c>
      <c r="B6" s="6" t="str">
        <f t="shared" ca="1" si="0"/>
        <v>5/3/2025</v>
      </c>
      <c r="C6" s="5" t="s">
        <v>11</v>
      </c>
      <c r="D6" s="5" t="s">
        <v>18</v>
      </c>
      <c r="E6" s="5">
        <v>14</v>
      </c>
      <c r="F6" s="5" t="s">
        <v>19</v>
      </c>
      <c r="G6" s="5">
        <v>1</v>
      </c>
      <c r="H6" s="7">
        <v>19.056127548217773</v>
      </c>
      <c r="I6" s="7">
        <f t="shared" si="1"/>
        <v>19.059999999999999</v>
      </c>
      <c r="J6" s="8">
        <v>7.0000000000000007E-2</v>
      </c>
      <c r="K6" s="7">
        <f t="shared" si="4"/>
        <v>1.3342000000000001</v>
      </c>
      <c r="N6" s="1">
        <v>5</v>
      </c>
      <c r="O6" s="1">
        <v>3</v>
      </c>
      <c r="P6" s="1">
        <f t="shared" ca="1" si="2"/>
        <v>2025</v>
      </c>
      <c r="Q6" s="1" t="str">
        <f t="shared" ca="1" si="3"/>
        <v>5/3/2025</v>
      </c>
    </row>
    <row r="7" spans="1:17" x14ac:dyDescent="0.2">
      <c r="A7" s="5">
        <v>1</v>
      </c>
      <c r="B7" s="6" t="str">
        <f t="shared" ca="1" si="0"/>
        <v>5/3/2025</v>
      </c>
      <c r="C7" s="5" t="s">
        <v>11</v>
      </c>
      <c r="D7" s="5" t="s">
        <v>15</v>
      </c>
      <c r="E7" s="5">
        <v>18</v>
      </c>
      <c r="F7" s="5" t="s">
        <v>20</v>
      </c>
      <c r="G7" s="5">
        <v>1</v>
      </c>
      <c r="H7" s="7">
        <v>71.193687438964844</v>
      </c>
      <c r="I7" s="7">
        <f t="shared" si="1"/>
        <v>71.19</v>
      </c>
      <c r="J7" s="8">
        <v>0.2</v>
      </c>
      <c r="K7" s="7">
        <f t="shared" si="4"/>
        <v>14.238</v>
      </c>
      <c r="N7" s="1">
        <v>5</v>
      </c>
      <c r="O7" s="1">
        <v>3</v>
      </c>
      <c r="P7" s="1">
        <f t="shared" ca="1" si="2"/>
        <v>2025</v>
      </c>
      <c r="Q7" s="1" t="str">
        <f t="shared" ca="1" si="3"/>
        <v>5/3/2025</v>
      </c>
    </row>
    <row r="8" spans="1:17" x14ac:dyDescent="0.2">
      <c r="A8" s="5">
        <v>1</v>
      </c>
      <c r="B8" s="6" t="str">
        <f t="shared" ca="1" si="0"/>
        <v>5/3/2025</v>
      </c>
      <c r="C8" s="5" t="s">
        <v>11</v>
      </c>
      <c r="D8" s="5" t="s">
        <v>15</v>
      </c>
      <c r="E8" s="5">
        <v>19</v>
      </c>
      <c r="F8" s="5" t="s">
        <v>21</v>
      </c>
      <c r="G8" s="5">
        <v>4</v>
      </c>
      <c r="H8" s="7">
        <v>68.602058410644531</v>
      </c>
      <c r="I8" s="7">
        <f t="shared" si="1"/>
        <v>274.41000000000003</v>
      </c>
      <c r="J8" s="8">
        <v>0.2</v>
      </c>
      <c r="K8" s="7">
        <f t="shared" si="4"/>
        <v>54.882000000000005</v>
      </c>
      <c r="N8" s="1">
        <v>5</v>
      </c>
      <c r="O8" s="1">
        <v>3</v>
      </c>
      <c r="P8" s="1">
        <f t="shared" ca="1" si="2"/>
        <v>2025</v>
      </c>
      <c r="Q8" s="1" t="str">
        <f t="shared" ca="1" si="3"/>
        <v>5/3/2025</v>
      </c>
    </row>
    <row r="9" spans="1:17" x14ac:dyDescent="0.2">
      <c r="A9" s="5">
        <v>2</v>
      </c>
      <c r="B9" s="6" t="str">
        <f t="shared" ca="1" si="0"/>
        <v>16/3/2025</v>
      </c>
      <c r="C9" s="5" t="s">
        <v>22</v>
      </c>
      <c r="D9" s="5" t="s">
        <v>12</v>
      </c>
      <c r="E9" s="5">
        <v>1</v>
      </c>
      <c r="F9" s="5" t="s">
        <v>13</v>
      </c>
      <c r="G9" s="5">
        <v>30</v>
      </c>
      <c r="H9" s="7">
        <v>4.5734705924987793</v>
      </c>
      <c r="I9" s="7">
        <f t="shared" si="1"/>
        <v>137.19999999999999</v>
      </c>
      <c r="J9" s="8">
        <v>0.2</v>
      </c>
      <c r="K9" s="7">
        <f t="shared" si="4"/>
        <v>27.439999999999998</v>
      </c>
      <c r="N9" s="1">
        <v>16</v>
      </c>
      <c r="O9" s="1">
        <v>3</v>
      </c>
      <c r="P9" s="1">
        <f t="shared" ca="1" si="2"/>
        <v>2025</v>
      </c>
      <c r="Q9" s="1" t="str">
        <f t="shared" ca="1" si="3"/>
        <v>16/3/2025</v>
      </c>
    </row>
    <row r="10" spans="1:17" x14ac:dyDescent="0.2">
      <c r="A10" s="5">
        <v>2</v>
      </c>
      <c r="B10" s="6" t="str">
        <f t="shared" ca="1" si="0"/>
        <v>16/3/2025</v>
      </c>
      <c r="C10" s="5" t="s">
        <v>22</v>
      </c>
      <c r="D10" s="5" t="s">
        <v>15</v>
      </c>
      <c r="E10" s="5">
        <v>6</v>
      </c>
      <c r="F10" s="5" t="s">
        <v>16</v>
      </c>
      <c r="G10" s="5">
        <v>6</v>
      </c>
      <c r="H10" s="7">
        <v>15.092453002929688</v>
      </c>
      <c r="I10" s="7">
        <f t="shared" si="1"/>
        <v>90.55</v>
      </c>
      <c r="J10" s="8">
        <v>0.2</v>
      </c>
      <c r="K10" s="7">
        <f t="shared" si="4"/>
        <v>18.11</v>
      </c>
      <c r="N10" s="1">
        <v>16</v>
      </c>
      <c r="O10" s="1">
        <v>3</v>
      </c>
      <c r="P10" s="1">
        <f t="shared" ca="1" si="2"/>
        <v>2025</v>
      </c>
      <c r="Q10" s="1" t="str">
        <f t="shared" ca="1" si="3"/>
        <v>16/3/2025</v>
      </c>
    </row>
    <row r="11" spans="1:17" x14ac:dyDescent="0.2">
      <c r="A11" s="5">
        <v>2</v>
      </c>
      <c r="B11" s="6" t="str">
        <f t="shared" ca="1" si="0"/>
        <v>16/3/2025</v>
      </c>
      <c r="C11" s="5" t="s">
        <v>22</v>
      </c>
      <c r="D11" s="5" t="s">
        <v>18</v>
      </c>
      <c r="E11" s="5">
        <v>14</v>
      </c>
      <c r="F11" s="5" t="s">
        <v>19</v>
      </c>
      <c r="G11" s="5">
        <v>5</v>
      </c>
      <c r="H11" s="7">
        <v>19.056127548217773</v>
      </c>
      <c r="I11" s="7">
        <f t="shared" si="1"/>
        <v>95.28</v>
      </c>
      <c r="J11" s="8">
        <v>7.0000000000000007E-2</v>
      </c>
      <c r="K11" s="7">
        <f t="shared" si="4"/>
        <v>6.6696000000000009</v>
      </c>
      <c r="N11" s="1">
        <v>16</v>
      </c>
      <c r="O11" s="1">
        <v>3</v>
      </c>
      <c r="P11" s="1">
        <f t="shared" ca="1" si="2"/>
        <v>2025</v>
      </c>
      <c r="Q11" s="1" t="str">
        <f t="shared" ca="1" si="3"/>
        <v>16/3/2025</v>
      </c>
    </row>
    <row r="12" spans="1:17" x14ac:dyDescent="0.2">
      <c r="A12" s="5">
        <v>2</v>
      </c>
      <c r="B12" s="6" t="str">
        <f t="shared" ca="1" si="0"/>
        <v>16/3/2025</v>
      </c>
      <c r="C12" s="5" t="s">
        <v>22</v>
      </c>
      <c r="D12" s="5" t="s">
        <v>18</v>
      </c>
      <c r="E12" s="5">
        <v>17</v>
      </c>
      <c r="F12" s="5" t="s">
        <v>23</v>
      </c>
      <c r="G12" s="5">
        <v>10</v>
      </c>
      <c r="H12" s="7">
        <v>34.453479766845703</v>
      </c>
      <c r="I12" s="7">
        <f t="shared" si="1"/>
        <v>344.53</v>
      </c>
      <c r="J12" s="8">
        <v>7.0000000000000007E-2</v>
      </c>
      <c r="K12" s="7">
        <f t="shared" si="4"/>
        <v>24.117100000000001</v>
      </c>
      <c r="N12" s="1">
        <v>16</v>
      </c>
      <c r="O12" s="1">
        <v>3</v>
      </c>
      <c r="P12" s="1">
        <f t="shared" ca="1" si="2"/>
        <v>2025</v>
      </c>
      <c r="Q12" s="1" t="str">
        <f t="shared" ca="1" si="3"/>
        <v>16/3/2025</v>
      </c>
    </row>
    <row r="13" spans="1:17" x14ac:dyDescent="0.2">
      <c r="A13" s="5">
        <v>3</v>
      </c>
      <c r="B13" s="6" t="str">
        <f t="shared" ca="1" si="0"/>
        <v>16/3/2025</v>
      </c>
      <c r="C13" s="5" t="s">
        <v>24</v>
      </c>
      <c r="D13" s="5" t="s">
        <v>15</v>
      </c>
      <c r="E13" s="5">
        <v>6</v>
      </c>
      <c r="F13" s="5" t="s">
        <v>16</v>
      </c>
      <c r="G13" s="5">
        <v>20</v>
      </c>
      <c r="H13" s="7">
        <v>15.092453002929688</v>
      </c>
      <c r="I13" s="7">
        <f t="shared" si="1"/>
        <v>301.85000000000002</v>
      </c>
      <c r="J13" s="8">
        <v>0.2</v>
      </c>
      <c r="K13" s="7">
        <f t="shared" si="4"/>
        <v>60.370000000000005</v>
      </c>
      <c r="N13" s="1">
        <v>16</v>
      </c>
      <c r="O13" s="1">
        <v>3</v>
      </c>
      <c r="P13" s="1">
        <f t="shared" ca="1" si="2"/>
        <v>2025</v>
      </c>
      <c r="Q13" s="1" t="str">
        <f t="shared" ca="1" si="3"/>
        <v>16/3/2025</v>
      </c>
    </row>
    <row r="14" spans="1:17" x14ac:dyDescent="0.2">
      <c r="A14" s="5">
        <v>3</v>
      </c>
      <c r="B14" s="6" t="str">
        <f t="shared" ca="1" si="0"/>
        <v>16/3/2025</v>
      </c>
      <c r="C14" s="5" t="s">
        <v>24</v>
      </c>
      <c r="D14" s="5" t="s">
        <v>15</v>
      </c>
      <c r="E14" s="5">
        <v>7</v>
      </c>
      <c r="F14" s="5" t="s">
        <v>25</v>
      </c>
      <c r="G14" s="5">
        <v>20</v>
      </c>
      <c r="H14" s="7">
        <v>23.172250747680664</v>
      </c>
      <c r="I14" s="7">
        <f t="shared" si="1"/>
        <v>463.45</v>
      </c>
      <c r="J14" s="8">
        <v>0.2</v>
      </c>
      <c r="K14" s="7">
        <f t="shared" si="4"/>
        <v>92.69</v>
      </c>
      <c r="N14" s="1">
        <v>16</v>
      </c>
      <c r="O14" s="1">
        <v>3</v>
      </c>
      <c r="P14" s="1">
        <f t="shared" ca="1" si="2"/>
        <v>2025</v>
      </c>
      <c r="Q14" s="1" t="str">
        <f t="shared" ca="1" si="3"/>
        <v>16/3/2025</v>
      </c>
    </row>
    <row r="15" spans="1:17" x14ac:dyDescent="0.2">
      <c r="A15" s="5">
        <v>3</v>
      </c>
      <c r="B15" s="6" t="str">
        <f t="shared" ca="1" si="0"/>
        <v>16/3/2025</v>
      </c>
      <c r="C15" s="5" t="s">
        <v>24</v>
      </c>
      <c r="D15" s="5" t="s">
        <v>15</v>
      </c>
      <c r="E15" s="5">
        <v>13</v>
      </c>
      <c r="F15" s="5" t="s">
        <v>26</v>
      </c>
      <c r="G15" s="5">
        <v>8</v>
      </c>
      <c r="H15" s="7">
        <v>24.23939323425293</v>
      </c>
      <c r="I15" s="7">
        <f t="shared" si="1"/>
        <v>193.92</v>
      </c>
      <c r="J15" s="8">
        <v>0.2</v>
      </c>
      <c r="K15" s="7">
        <f t="shared" si="4"/>
        <v>38.783999999999999</v>
      </c>
      <c r="N15" s="1">
        <v>16</v>
      </c>
      <c r="O15" s="1">
        <v>3</v>
      </c>
      <c r="P15" s="1">
        <f t="shared" ca="1" si="2"/>
        <v>2025</v>
      </c>
      <c r="Q15" s="1" t="str">
        <f t="shared" ca="1" si="3"/>
        <v>16/3/2025</v>
      </c>
    </row>
    <row r="16" spans="1:17" x14ac:dyDescent="0.2">
      <c r="A16" s="5">
        <v>4</v>
      </c>
      <c r="B16" s="6" t="str">
        <f t="shared" ca="1" si="0"/>
        <v>19/3/2025</v>
      </c>
      <c r="C16" s="5" t="s">
        <v>27</v>
      </c>
      <c r="D16" s="5" t="s">
        <v>12</v>
      </c>
      <c r="E16" s="5">
        <v>1</v>
      </c>
      <c r="F16" s="5" t="s">
        <v>13</v>
      </c>
      <c r="G16" s="5">
        <v>7</v>
      </c>
      <c r="H16" s="7">
        <v>4.5734705924987793</v>
      </c>
      <c r="I16" s="7">
        <f t="shared" si="1"/>
        <v>32.01</v>
      </c>
      <c r="J16" s="8">
        <v>0.2</v>
      </c>
      <c r="K16" s="7">
        <f t="shared" si="4"/>
        <v>6.4020000000000001</v>
      </c>
      <c r="N16" s="1">
        <v>19</v>
      </c>
      <c r="O16" s="1">
        <v>3</v>
      </c>
      <c r="P16" s="1">
        <f t="shared" ca="1" si="2"/>
        <v>2025</v>
      </c>
      <c r="Q16" s="1" t="str">
        <f t="shared" ca="1" si="3"/>
        <v>19/3/2025</v>
      </c>
    </row>
    <row r="17" spans="1:17" x14ac:dyDescent="0.2">
      <c r="A17" s="5">
        <v>4</v>
      </c>
      <c r="B17" s="6" t="str">
        <f t="shared" ca="1" si="0"/>
        <v>19/3/2025</v>
      </c>
      <c r="C17" s="5" t="s">
        <v>27</v>
      </c>
      <c r="D17" s="5" t="s">
        <v>12</v>
      </c>
      <c r="E17" s="5">
        <v>4</v>
      </c>
      <c r="F17" s="5" t="s">
        <v>14</v>
      </c>
      <c r="G17" s="5">
        <v>10</v>
      </c>
      <c r="H17" s="7">
        <v>1.1433676481246948</v>
      </c>
      <c r="I17" s="7">
        <f t="shared" si="1"/>
        <v>11.43</v>
      </c>
      <c r="J17" s="8">
        <v>0.2</v>
      </c>
      <c r="K17" s="7">
        <f t="shared" si="4"/>
        <v>2.286</v>
      </c>
      <c r="N17" s="1">
        <v>19</v>
      </c>
      <c r="O17" s="1">
        <v>3</v>
      </c>
      <c r="P17" s="1">
        <f t="shared" ca="1" si="2"/>
        <v>2025</v>
      </c>
      <c r="Q17" s="1" t="str">
        <f t="shared" ca="1" si="3"/>
        <v>19/3/2025</v>
      </c>
    </row>
    <row r="18" spans="1:17" x14ac:dyDescent="0.2">
      <c r="A18" s="5">
        <v>4</v>
      </c>
      <c r="B18" s="6" t="str">
        <f t="shared" ca="1" si="0"/>
        <v>19/3/2025</v>
      </c>
      <c r="C18" s="5" t="s">
        <v>27</v>
      </c>
      <c r="D18" s="5" t="s">
        <v>28</v>
      </c>
      <c r="E18" s="5">
        <v>10</v>
      </c>
      <c r="F18" s="5" t="s">
        <v>29</v>
      </c>
      <c r="G18" s="5">
        <v>5</v>
      </c>
      <c r="H18" s="7">
        <v>6.8602056503295898</v>
      </c>
      <c r="I18" s="7">
        <f t="shared" si="1"/>
        <v>34.299999999999997</v>
      </c>
      <c r="J18" s="8">
        <v>0.2</v>
      </c>
      <c r="K18" s="7">
        <f t="shared" si="4"/>
        <v>6.8599999999999994</v>
      </c>
      <c r="N18" s="1">
        <v>19</v>
      </c>
      <c r="O18" s="1">
        <v>3</v>
      </c>
      <c r="P18" s="1">
        <f t="shared" ca="1" si="2"/>
        <v>2025</v>
      </c>
      <c r="Q18" s="1" t="str">
        <f t="shared" ca="1" si="3"/>
        <v>19/3/2025</v>
      </c>
    </row>
    <row r="19" spans="1:17" x14ac:dyDescent="0.2">
      <c r="A19" s="5">
        <v>4</v>
      </c>
      <c r="B19" s="6" t="str">
        <f t="shared" ca="1" si="0"/>
        <v>19/3/2025</v>
      </c>
      <c r="C19" s="5" t="s">
        <v>27</v>
      </c>
      <c r="D19" s="5" t="s">
        <v>18</v>
      </c>
      <c r="E19" s="5">
        <v>15</v>
      </c>
      <c r="F19" s="5" t="s">
        <v>30</v>
      </c>
      <c r="G19" s="5">
        <v>2</v>
      </c>
      <c r="H19" s="7">
        <v>38.112255096435547</v>
      </c>
      <c r="I19" s="7">
        <f t="shared" si="1"/>
        <v>76.22</v>
      </c>
      <c r="J19" s="8">
        <v>7.0000000000000007E-2</v>
      </c>
      <c r="K19" s="7">
        <f t="shared" si="4"/>
        <v>5.3354000000000008</v>
      </c>
      <c r="N19" s="1">
        <v>19</v>
      </c>
      <c r="O19" s="1">
        <v>3</v>
      </c>
      <c r="P19" s="1">
        <f t="shared" ca="1" si="2"/>
        <v>2025</v>
      </c>
      <c r="Q19" s="1" t="str">
        <f t="shared" ca="1" si="3"/>
        <v>19/3/2025</v>
      </c>
    </row>
    <row r="20" spans="1:17" x14ac:dyDescent="0.2">
      <c r="A20" s="5">
        <v>5</v>
      </c>
      <c r="B20" s="6" t="str">
        <f t="shared" ca="1" si="0"/>
        <v>22/3/2025</v>
      </c>
      <c r="C20" s="5" t="s">
        <v>38</v>
      </c>
      <c r="D20" s="5" t="s">
        <v>12</v>
      </c>
      <c r="E20" s="5">
        <v>1</v>
      </c>
      <c r="F20" s="5" t="s">
        <v>13</v>
      </c>
      <c r="G20" s="5">
        <v>100</v>
      </c>
      <c r="H20" s="7">
        <v>4.5734705924987793</v>
      </c>
      <c r="I20" s="7">
        <f t="shared" si="1"/>
        <v>457.35</v>
      </c>
      <c r="J20" s="8">
        <v>0.2</v>
      </c>
      <c r="K20" s="7">
        <f t="shared" si="4"/>
        <v>91.470000000000013</v>
      </c>
      <c r="N20" s="1">
        <v>22</v>
      </c>
      <c r="O20" s="1">
        <v>3</v>
      </c>
      <c r="P20" s="1">
        <f t="shared" ca="1" si="2"/>
        <v>2025</v>
      </c>
      <c r="Q20" s="1" t="str">
        <f t="shared" ca="1" si="3"/>
        <v>22/3/2025</v>
      </c>
    </row>
    <row r="21" spans="1:17" x14ac:dyDescent="0.2">
      <c r="A21" s="5">
        <v>5</v>
      </c>
      <c r="B21" s="6" t="str">
        <f t="shared" ca="1" si="0"/>
        <v>22/3/2025</v>
      </c>
      <c r="C21" s="5" t="s">
        <v>38</v>
      </c>
      <c r="D21" s="5" t="s">
        <v>12</v>
      </c>
      <c r="E21" s="5">
        <v>2</v>
      </c>
      <c r="F21" s="5" t="s">
        <v>31</v>
      </c>
      <c r="G21" s="5">
        <v>100</v>
      </c>
      <c r="H21" s="7">
        <v>2.0580618381500244</v>
      </c>
      <c r="I21" s="7">
        <f t="shared" si="1"/>
        <v>205.81</v>
      </c>
      <c r="J21" s="8">
        <v>0.2</v>
      </c>
      <c r="K21" s="7">
        <f t="shared" si="4"/>
        <v>41.162000000000006</v>
      </c>
      <c r="N21" s="1">
        <v>22</v>
      </c>
      <c r="O21" s="1">
        <v>3</v>
      </c>
      <c r="P21" s="1">
        <f t="shared" ca="1" si="2"/>
        <v>2025</v>
      </c>
      <c r="Q21" s="1" t="str">
        <f t="shared" ca="1" si="3"/>
        <v>22/3/2025</v>
      </c>
    </row>
    <row r="22" spans="1:17" x14ac:dyDescent="0.2">
      <c r="A22" s="5">
        <v>5</v>
      </c>
      <c r="B22" s="6" t="str">
        <f t="shared" ca="1" si="0"/>
        <v>22/3/2025</v>
      </c>
      <c r="C22" s="5" t="s">
        <v>38</v>
      </c>
      <c r="D22" s="5" t="s">
        <v>12</v>
      </c>
      <c r="E22" s="5">
        <v>3</v>
      </c>
      <c r="F22" s="5" t="s">
        <v>32</v>
      </c>
      <c r="G22" s="5">
        <v>50</v>
      </c>
      <c r="H22" s="7">
        <v>1.1433676481246948</v>
      </c>
      <c r="I22" s="7">
        <f t="shared" si="1"/>
        <v>57.17</v>
      </c>
      <c r="J22" s="8">
        <v>0.2</v>
      </c>
      <c r="K22" s="7">
        <f t="shared" si="4"/>
        <v>11.434000000000001</v>
      </c>
      <c r="N22" s="1">
        <v>22</v>
      </c>
      <c r="O22" s="1">
        <v>3</v>
      </c>
      <c r="P22" s="1">
        <f t="shared" ca="1" si="2"/>
        <v>2025</v>
      </c>
      <c r="Q22" s="1" t="str">
        <f t="shared" ca="1" si="3"/>
        <v>22/3/2025</v>
      </c>
    </row>
    <row r="23" spans="1:17" x14ac:dyDescent="0.2">
      <c r="A23" s="5">
        <v>5</v>
      </c>
      <c r="B23" s="6" t="str">
        <f t="shared" ca="1" si="0"/>
        <v>22/3/2025</v>
      </c>
      <c r="C23" s="5" t="s">
        <v>38</v>
      </c>
      <c r="D23" s="5" t="s">
        <v>12</v>
      </c>
      <c r="E23" s="5">
        <v>4</v>
      </c>
      <c r="F23" s="5" t="s">
        <v>14</v>
      </c>
      <c r="G23" s="5">
        <v>50</v>
      </c>
      <c r="H23" s="7">
        <v>1.1433676481246948</v>
      </c>
      <c r="I23" s="7">
        <f t="shared" si="1"/>
        <v>57.17</v>
      </c>
      <c r="J23" s="8">
        <v>0.2</v>
      </c>
      <c r="K23" s="7">
        <f t="shared" si="4"/>
        <v>11.434000000000001</v>
      </c>
      <c r="N23" s="1">
        <v>22</v>
      </c>
      <c r="O23" s="1">
        <v>3</v>
      </c>
      <c r="P23" s="1">
        <f t="shared" ca="1" si="2"/>
        <v>2025</v>
      </c>
      <c r="Q23" s="1" t="str">
        <f t="shared" ca="1" si="3"/>
        <v>22/3/2025</v>
      </c>
    </row>
    <row r="24" spans="1:17" x14ac:dyDescent="0.2">
      <c r="A24" s="5">
        <v>6</v>
      </c>
      <c r="B24" s="6" t="str">
        <f t="shared" ca="1" si="0"/>
        <v>23/3/2025</v>
      </c>
      <c r="C24" s="5" t="s">
        <v>33</v>
      </c>
      <c r="D24" s="5" t="s">
        <v>12</v>
      </c>
      <c r="E24" s="5">
        <v>3</v>
      </c>
      <c r="F24" s="5" t="s">
        <v>32</v>
      </c>
      <c r="G24" s="5">
        <v>10</v>
      </c>
      <c r="H24" s="7">
        <v>1.1433676481246948</v>
      </c>
      <c r="I24" s="7">
        <f t="shared" si="1"/>
        <v>11.43</v>
      </c>
      <c r="J24" s="8">
        <v>0.2</v>
      </c>
      <c r="K24" s="7">
        <f t="shared" si="4"/>
        <v>2.286</v>
      </c>
      <c r="N24" s="1">
        <v>23</v>
      </c>
      <c r="O24" s="1">
        <v>3</v>
      </c>
      <c r="P24" s="1">
        <f t="shared" ca="1" si="2"/>
        <v>2025</v>
      </c>
      <c r="Q24" s="1" t="str">
        <f t="shared" ca="1" si="3"/>
        <v>23/3/2025</v>
      </c>
    </row>
    <row r="25" spans="1:17" x14ac:dyDescent="0.2">
      <c r="A25" s="5">
        <v>6</v>
      </c>
      <c r="B25" s="6" t="str">
        <f t="shared" ca="1" si="0"/>
        <v>23/3/2025</v>
      </c>
      <c r="C25" s="5" t="s">
        <v>33</v>
      </c>
      <c r="D25" s="5" t="s">
        <v>12</v>
      </c>
      <c r="E25" s="5">
        <v>4</v>
      </c>
      <c r="F25" s="5" t="s">
        <v>14</v>
      </c>
      <c r="G25" s="5">
        <v>20</v>
      </c>
      <c r="H25" s="7">
        <v>1.1433676481246948</v>
      </c>
      <c r="I25" s="7">
        <f t="shared" si="1"/>
        <v>22.87</v>
      </c>
      <c r="J25" s="8">
        <v>0.2</v>
      </c>
      <c r="K25" s="7">
        <f t="shared" si="4"/>
        <v>4.5740000000000007</v>
      </c>
      <c r="N25" s="1">
        <v>23</v>
      </c>
      <c r="O25" s="1">
        <v>3</v>
      </c>
      <c r="P25" s="1">
        <f t="shared" ca="1" si="2"/>
        <v>2025</v>
      </c>
      <c r="Q25" s="1" t="str">
        <f t="shared" ca="1" si="3"/>
        <v>23/3/2025</v>
      </c>
    </row>
    <row r="26" spans="1:17" x14ac:dyDescent="0.2">
      <c r="A26" s="5">
        <v>6</v>
      </c>
      <c r="B26" s="6" t="str">
        <f t="shared" ca="1" si="0"/>
        <v>23/3/2025</v>
      </c>
      <c r="C26" s="5" t="s">
        <v>33</v>
      </c>
      <c r="D26" s="5" t="s">
        <v>15</v>
      </c>
      <c r="E26" s="5">
        <v>12</v>
      </c>
      <c r="F26" s="5" t="s">
        <v>17</v>
      </c>
      <c r="G26" s="5">
        <v>4</v>
      </c>
      <c r="H26" s="7">
        <v>53.662055969238281</v>
      </c>
      <c r="I26" s="7">
        <f t="shared" si="1"/>
        <v>214.65</v>
      </c>
      <c r="J26" s="8">
        <v>0.2</v>
      </c>
      <c r="K26" s="7">
        <f t="shared" si="4"/>
        <v>42.930000000000007</v>
      </c>
      <c r="N26" s="1">
        <v>23</v>
      </c>
      <c r="O26" s="1">
        <v>3</v>
      </c>
      <c r="P26" s="1">
        <f t="shared" ca="1" si="2"/>
        <v>2025</v>
      </c>
      <c r="Q26" s="1" t="str">
        <f t="shared" ca="1" si="3"/>
        <v>23/3/2025</v>
      </c>
    </row>
    <row r="27" spans="1:17" x14ac:dyDescent="0.2">
      <c r="A27" s="5">
        <v>6</v>
      </c>
      <c r="B27" s="6" t="str">
        <f t="shared" ca="1" si="0"/>
        <v>23/3/2025</v>
      </c>
      <c r="C27" s="5" t="s">
        <v>33</v>
      </c>
      <c r="D27" s="5" t="s">
        <v>15</v>
      </c>
      <c r="E27" s="5">
        <v>13</v>
      </c>
      <c r="F27" s="5" t="s">
        <v>26</v>
      </c>
      <c r="G27" s="5">
        <v>5</v>
      </c>
      <c r="H27" s="7">
        <v>24.23939323425293</v>
      </c>
      <c r="I27" s="7">
        <f t="shared" si="1"/>
        <v>121.2</v>
      </c>
      <c r="J27" s="8">
        <v>0.2</v>
      </c>
      <c r="K27" s="7">
        <f t="shared" si="4"/>
        <v>24.240000000000002</v>
      </c>
      <c r="N27" s="1">
        <v>23</v>
      </c>
      <c r="O27" s="1">
        <v>3</v>
      </c>
      <c r="P27" s="1">
        <f t="shared" ca="1" si="2"/>
        <v>2025</v>
      </c>
      <c r="Q27" s="1" t="str">
        <f t="shared" ca="1" si="3"/>
        <v>23/3/2025</v>
      </c>
    </row>
    <row r="28" spans="1:17" x14ac:dyDescent="0.2">
      <c r="A28" s="5">
        <v>7</v>
      </c>
      <c r="B28" s="6" t="str">
        <f t="shared" ca="1" si="0"/>
        <v>24/3/2025</v>
      </c>
      <c r="C28" s="5" t="s">
        <v>39</v>
      </c>
      <c r="D28" s="5" t="s">
        <v>15</v>
      </c>
      <c r="E28" s="5">
        <v>7</v>
      </c>
      <c r="F28" s="5" t="s">
        <v>25</v>
      </c>
      <c r="G28" s="5">
        <v>10</v>
      </c>
      <c r="H28" s="7">
        <v>23.172250747680664</v>
      </c>
      <c r="I28" s="7">
        <f t="shared" si="1"/>
        <v>231.72</v>
      </c>
      <c r="J28" s="8">
        <v>0.2</v>
      </c>
      <c r="K28" s="7">
        <f t="shared" si="4"/>
        <v>46.344000000000001</v>
      </c>
      <c r="N28" s="1">
        <v>24</v>
      </c>
      <c r="O28" s="1">
        <v>3</v>
      </c>
      <c r="P28" s="1">
        <f t="shared" ca="1" si="2"/>
        <v>2025</v>
      </c>
      <c r="Q28" s="1" t="str">
        <f t="shared" ca="1" si="3"/>
        <v>24/3/2025</v>
      </c>
    </row>
    <row r="29" spans="1:17" x14ac:dyDescent="0.2">
      <c r="A29" s="5">
        <v>7</v>
      </c>
      <c r="B29" s="6" t="str">
        <f t="shared" ca="1" si="0"/>
        <v>24/3/2025</v>
      </c>
      <c r="C29" s="5" t="s">
        <v>39</v>
      </c>
      <c r="D29" s="5" t="s">
        <v>15</v>
      </c>
      <c r="E29" s="5">
        <v>8</v>
      </c>
      <c r="F29" s="5" t="s">
        <v>34</v>
      </c>
      <c r="G29" s="5">
        <v>2</v>
      </c>
      <c r="H29" s="7">
        <v>34.301029205322266</v>
      </c>
      <c r="I29" s="7">
        <f t="shared" si="1"/>
        <v>68.599999999999994</v>
      </c>
      <c r="J29" s="8">
        <v>0.2</v>
      </c>
      <c r="K29" s="7">
        <f t="shared" si="4"/>
        <v>13.719999999999999</v>
      </c>
      <c r="N29" s="1">
        <v>24</v>
      </c>
      <c r="O29" s="1">
        <v>3</v>
      </c>
      <c r="P29" s="1">
        <f t="shared" ca="1" si="2"/>
        <v>2025</v>
      </c>
      <c r="Q29" s="1" t="str">
        <f t="shared" ca="1" si="3"/>
        <v>24/3/2025</v>
      </c>
    </row>
    <row r="30" spans="1:17" x14ac:dyDescent="0.2">
      <c r="A30" s="5">
        <v>7</v>
      </c>
      <c r="B30" s="6" t="str">
        <f t="shared" ca="1" si="0"/>
        <v>24/3/2025</v>
      </c>
      <c r="C30" s="5" t="s">
        <v>39</v>
      </c>
      <c r="D30" s="5" t="s">
        <v>18</v>
      </c>
      <c r="E30" s="5">
        <v>16</v>
      </c>
      <c r="F30" s="5" t="s">
        <v>35</v>
      </c>
      <c r="G30" s="5">
        <v>5</v>
      </c>
      <c r="H30" s="7">
        <v>11.433676719665527</v>
      </c>
      <c r="I30" s="7">
        <f t="shared" si="1"/>
        <v>57.17</v>
      </c>
      <c r="J30" s="8">
        <v>7.0000000000000007E-2</v>
      </c>
      <c r="K30" s="7">
        <f t="shared" si="4"/>
        <v>4.0019000000000009</v>
      </c>
      <c r="N30" s="1">
        <v>24</v>
      </c>
      <c r="O30" s="1">
        <v>3</v>
      </c>
      <c r="P30" s="1">
        <f t="shared" ca="1" si="2"/>
        <v>2025</v>
      </c>
      <c r="Q30" s="1" t="str">
        <f t="shared" ca="1" si="3"/>
        <v>24/3/2025</v>
      </c>
    </row>
    <row r="31" spans="1:17" x14ac:dyDescent="0.2">
      <c r="A31" s="5">
        <v>8</v>
      </c>
      <c r="B31" s="6" t="str">
        <f t="shared" ca="1" si="0"/>
        <v>24/3/2025</v>
      </c>
      <c r="C31" s="5" t="s">
        <v>40</v>
      </c>
      <c r="D31" s="5" t="s">
        <v>12</v>
      </c>
      <c r="E31" s="5">
        <v>3</v>
      </c>
      <c r="F31" s="5" t="s">
        <v>32</v>
      </c>
      <c r="G31" s="5">
        <v>100</v>
      </c>
      <c r="H31" s="7">
        <v>1.1433676481246948</v>
      </c>
      <c r="I31" s="7">
        <f t="shared" si="1"/>
        <v>114.34</v>
      </c>
      <c r="J31" s="8">
        <v>0.2</v>
      </c>
      <c r="K31" s="7">
        <f t="shared" si="4"/>
        <v>22.868000000000002</v>
      </c>
      <c r="N31" s="1">
        <v>24</v>
      </c>
      <c r="O31" s="1">
        <v>3</v>
      </c>
      <c r="P31" s="1">
        <f t="shared" ca="1" si="2"/>
        <v>2025</v>
      </c>
      <c r="Q31" s="1" t="str">
        <f t="shared" ca="1" si="3"/>
        <v>24/3/2025</v>
      </c>
    </row>
    <row r="32" spans="1:17" x14ac:dyDescent="0.2">
      <c r="A32" s="5">
        <v>8</v>
      </c>
      <c r="B32" s="6" t="str">
        <f t="shared" ca="1" si="0"/>
        <v>24/3/2025</v>
      </c>
      <c r="C32" s="5" t="s">
        <v>40</v>
      </c>
      <c r="D32" s="5" t="s">
        <v>12</v>
      </c>
      <c r="E32" s="5">
        <v>4</v>
      </c>
      <c r="F32" s="5" t="s">
        <v>14</v>
      </c>
      <c r="G32" s="5">
        <v>100</v>
      </c>
      <c r="H32" s="7">
        <v>1.1433676481246948</v>
      </c>
      <c r="I32" s="7">
        <f t="shared" si="1"/>
        <v>114.34</v>
      </c>
      <c r="J32" s="8">
        <v>0.2</v>
      </c>
      <c r="K32" s="7">
        <f t="shared" si="4"/>
        <v>22.868000000000002</v>
      </c>
      <c r="N32" s="1">
        <v>24</v>
      </c>
      <c r="O32" s="1">
        <v>3</v>
      </c>
      <c r="P32" s="1">
        <f t="shared" ca="1" si="2"/>
        <v>2025</v>
      </c>
      <c r="Q32" s="1" t="str">
        <f t="shared" ca="1" si="3"/>
        <v>24/3/2025</v>
      </c>
    </row>
    <row r="33" spans="1:17" x14ac:dyDescent="0.2">
      <c r="A33" s="5">
        <v>8</v>
      </c>
      <c r="B33" s="6" t="str">
        <f t="shared" ca="1" si="0"/>
        <v>24/3/2025</v>
      </c>
      <c r="C33" s="5" t="s">
        <v>40</v>
      </c>
      <c r="D33" s="5" t="s">
        <v>15</v>
      </c>
      <c r="E33" s="5">
        <v>6</v>
      </c>
      <c r="F33" s="5" t="s">
        <v>16</v>
      </c>
      <c r="G33" s="5">
        <v>20</v>
      </c>
      <c r="H33" s="7">
        <v>15.092453002929688</v>
      </c>
      <c r="I33" s="7">
        <f t="shared" si="1"/>
        <v>301.85000000000002</v>
      </c>
      <c r="J33" s="8">
        <v>0.2</v>
      </c>
      <c r="K33" s="7">
        <f t="shared" si="4"/>
        <v>60.370000000000005</v>
      </c>
      <c r="N33" s="1">
        <v>24</v>
      </c>
      <c r="O33" s="1">
        <v>3</v>
      </c>
      <c r="P33" s="1">
        <f t="shared" ca="1" si="2"/>
        <v>2025</v>
      </c>
      <c r="Q33" s="1" t="str">
        <f t="shared" ca="1" si="3"/>
        <v>24/3/2025</v>
      </c>
    </row>
    <row r="34" spans="1:17" x14ac:dyDescent="0.2">
      <c r="A34" s="5">
        <v>9</v>
      </c>
      <c r="B34" s="6" t="str">
        <f t="shared" ca="1" si="0"/>
        <v>26/3/2025</v>
      </c>
      <c r="C34" s="5" t="s">
        <v>36</v>
      </c>
      <c r="D34" s="5" t="s">
        <v>12</v>
      </c>
      <c r="E34" s="5">
        <v>3</v>
      </c>
      <c r="F34" s="5" t="s">
        <v>32</v>
      </c>
      <c r="G34" s="5">
        <v>10</v>
      </c>
      <c r="H34" s="7">
        <v>1.1433676481246948</v>
      </c>
      <c r="I34" s="7">
        <f t="shared" si="1"/>
        <v>11.43</v>
      </c>
      <c r="J34" s="8">
        <v>0.2</v>
      </c>
      <c r="K34" s="7">
        <f t="shared" si="4"/>
        <v>2.286</v>
      </c>
      <c r="N34" s="1">
        <v>26</v>
      </c>
      <c r="O34" s="1">
        <v>3</v>
      </c>
      <c r="P34" s="1">
        <f t="shared" ca="1" si="2"/>
        <v>2025</v>
      </c>
      <c r="Q34" s="1" t="str">
        <f t="shared" ca="1" si="3"/>
        <v>26/3/2025</v>
      </c>
    </row>
    <row r="35" spans="1:17" x14ac:dyDescent="0.2">
      <c r="A35" s="5">
        <v>9</v>
      </c>
      <c r="B35" s="6" t="str">
        <f t="shared" ca="1" si="0"/>
        <v>26/3/2025</v>
      </c>
      <c r="C35" s="5" t="s">
        <v>36</v>
      </c>
      <c r="D35" s="5" t="s">
        <v>12</v>
      </c>
      <c r="E35" s="5">
        <v>4</v>
      </c>
      <c r="F35" s="5" t="s">
        <v>14</v>
      </c>
      <c r="G35" s="5">
        <v>10</v>
      </c>
      <c r="H35" s="7">
        <v>1.1433676481246948</v>
      </c>
      <c r="I35" s="7">
        <f t="shared" si="1"/>
        <v>11.43</v>
      </c>
      <c r="J35" s="8">
        <v>0.2</v>
      </c>
      <c r="K35" s="7">
        <f t="shared" si="4"/>
        <v>2.286</v>
      </c>
      <c r="N35" s="1">
        <v>26</v>
      </c>
      <c r="O35" s="1">
        <v>3</v>
      </c>
      <c r="P35" s="1">
        <f t="shared" ca="1" si="2"/>
        <v>2025</v>
      </c>
      <c r="Q35" s="1" t="str">
        <f t="shared" ca="1" si="3"/>
        <v>26/3/2025</v>
      </c>
    </row>
    <row r="36" spans="1:17" x14ac:dyDescent="0.2">
      <c r="A36" s="5">
        <v>9</v>
      </c>
      <c r="B36" s="6" t="str">
        <f t="shared" ca="1" si="0"/>
        <v>26/3/2025</v>
      </c>
      <c r="C36" s="5" t="s">
        <v>36</v>
      </c>
      <c r="D36" s="5" t="s">
        <v>15</v>
      </c>
      <c r="E36" s="5">
        <v>5</v>
      </c>
      <c r="F36" s="5" t="s">
        <v>37</v>
      </c>
      <c r="G36" s="5">
        <v>2</v>
      </c>
      <c r="H36" s="7">
        <v>5.3357157707214355</v>
      </c>
      <c r="I36" s="7">
        <f t="shared" si="1"/>
        <v>10.67</v>
      </c>
      <c r="J36" s="8">
        <v>0.2</v>
      </c>
      <c r="K36" s="7">
        <f t="shared" si="4"/>
        <v>2.1339999999999999</v>
      </c>
      <c r="N36" s="1">
        <v>26</v>
      </c>
      <c r="O36" s="1">
        <v>3</v>
      </c>
      <c r="P36" s="1">
        <f t="shared" ca="1" si="2"/>
        <v>2025</v>
      </c>
      <c r="Q36" s="1" t="str">
        <f t="shared" ca="1" si="3"/>
        <v>26/3/2025</v>
      </c>
    </row>
    <row r="37" spans="1:17" x14ac:dyDescent="0.2">
      <c r="A37" s="5">
        <v>9</v>
      </c>
      <c r="B37" s="6" t="str">
        <f t="shared" ca="1" si="0"/>
        <v>26/3/2025</v>
      </c>
      <c r="C37" s="5" t="s">
        <v>36</v>
      </c>
      <c r="D37" s="5" t="s">
        <v>15</v>
      </c>
      <c r="E37" s="5">
        <v>6</v>
      </c>
      <c r="F37" s="5" t="s">
        <v>16</v>
      </c>
      <c r="G37" s="5">
        <v>2</v>
      </c>
      <c r="H37" s="7">
        <v>15.092453002929688</v>
      </c>
      <c r="I37" s="7">
        <f t="shared" si="1"/>
        <v>30.18</v>
      </c>
      <c r="J37" s="8">
        <v>0.2</v>
      </c>
      <c r="K37" s="7">
        <f t="shared" si="4"/>
        <v>6.0360000000000005</v>
      </c>
      <c r="N37" s="1">
        <v>26</v>
      </c>
      <c r="O37" s="1">
        <v>3</v>
      </c>
      <c r="P37" s="1">
        <f t="shared" ca="1" si="2"/>
        <v>2025</v>
      </c>
      <c r="Q37" s="1" t="str">
        <f t="shared" ca="1" si="3"/>
        <v>26/3/2025</v>
      </c>
    </row>
    <row r="38" spans="1:17" x14ac:dyDescent="0.2">
      <c r="A38" s="5">
        <v>9</v>
      </c>
      <c r="B38" s="6" t="str">
        <f t="shared" ca="1" si="0"/>
        <v>26/3/2025</v>
      </c>
      <c r="C38" s="5" t="s">
        <v>36</v>
      </c>
      <c r="D38" s="5" t="s">
        <v>15</v>
      </c>
      <c r="E38" s="5">
        <v>8</v>
      </c>
      <c r="F38" s="5" t="s">
        <v>34</v>
      </c>
      <c r="G38" s="5">
        <v>1</v>
      </c>
      <c r="H38" s="7">
        <v>34.301029205322266</v>
      </c>
      <c r="I38" s="7">
        <f t="shared" si="1"/>
        <v>34.299999999999997</v>
      </c>
      <c r="J38" s="8">
        <v>0.2</v>
      </c>
      <c r="K38" s="7">
        <f t="shared" si="4"/>
        <v>6.8599999999999994</v>
      </c>
      <c r="N38" s="1">
        <v>26</v>
      </c>
      <c r="O38" s="1">
        <v>3</v>
      </c>
      <c r="P38" s="1">
        <f t="shared" ca="1" si="2"/>
        <v>2025</v>
      </c>
      <c r="Q38" s="1" t="str">
        <f t="shared" ca="1" si="3"/>
        <v>26/3/2025</v>
      </c>
    </row>
    <row r="39" spans="1:17" x14ac:dyDescent="0.2">
      <c r="A39" s="5">
        <v>9</v>
      </c>
      <c r="B39" s="6" t="str">
        <f t="shared" ca="1" si="0"/>
        <v>26/3/2025</v>
      </c>
      <c r="C39" s="5" t="s">
        <v>36</v>
      </c>
      <c r="D39" s="5" t="s">
        <v>28</v>
      </c>
      <c r="E39" s="5">
        <v>10</v>
      </c>
      <c r="F39" s="5" t="s">
        <v>29</v>
      </c>
      <c r="G39" s="5">
        <v>10</v>
      </c>
      <c r="H39" s="7">
        <v>6.8602056503295898</v>
      </c>
      <c r="I39" s="7">
        <f t="shared" si="1"/>
        <v>68.599999999999994</v>
      </c>
      <c r="J39" s="8">
        <v>0.2</v>
      </c>
      <c r="K39" s="7">
        <f t="shared" si="4"/>
        <v>13.719999999999999</v>
      </c>
      <c r="N39" s="1">
        <v>26</v>
      </c>
      <c r="O39" s="1">
        <v>3</v>
      </c>
      <c r="P39" s="1">
        <f t="shared" ca="1" si="2"/>
        <v>2025</v>
      </c>
      <c r="Q39" s="1" t="str">
        <f t="shared" ca="1" si="3"/>
        <v>26/3/2025</v>
      </c>
    </row>
    <row r="40" spans="1:17" x14ac:dyDescent="0.2">
      <c r="A40" s="5">
        <v>9</v>
      </c>
      <c r="B40" s="6" t="str">
        <f t="shared" ca="1" si="0"/>
        <v>26/3/2025</v>
      </c>
      <c r="C40" s="5" t="s">
        <v>36</v>
      </c>
      <c r="D40" s="5" t="s">
        <v>15</v>
      </c>
      <c r="E40" s="5">
        <v>13</v>
      </c>
      <c r="F40" s="5" t="s">
        <v>26</v>
      </c>
      <c r="G40" s="5">
        <v>1</v>
      </c>
      <c r="H40" s="7">
        <v>24.23939323425293</v>
      </c>
      <c r="I40" s="7">
        <f t="shared" si="1"/>
        <v>24.24</v>
      </c>
      <c r="J40" s="8">
        <v>0.2</v>
      </c>
      <c r="K40" s="7">
        <f t="shared" si="4"/>
        <v>4.8479999999999999</v>
      </c>
      <c r="N40" s="1">
        <v>26</v>
      </c>
      <c r="O40" s="1">
        <v>3</v>
      </c>
      <c r="P40" s="1">
        <f t="shared" ca="1" si="2"/>
        <v>2025</v>
      </c>
      <c r="Q40" s="1" t="str">
        <f t="shared" ca="1" si="3"/>
        <v>26/3/2025</v>
      </c>
    </row>
    <row r="41" spans="1:17" x14ac:dyDescent="0.2">
      <c r="A41" s="5">
        <v>9</v>
      </c>
      <c r="B41" s="6" t="str">
        <f t="shared" ca="1" si="0"/>
        <v>26/3/2025</v>
      </c>
      <c r="C41" s="5" t="s">
        <v>36</v>
      </c>
      <c r="D41" s="5" t="s">
        <v>15</v>
      </c>
      <c r="E41" s="5">
        <v>18</v>
      </c>
      <c r="F41" s="5" t="s">
        <v>20</v>
      </c>
      <c r="G41" s="5">
        <v>2</v>
      </c>
      <c r="H41" s="7">
        <v>71.193687438964844</v>
      </c>
      <c r="I41" s="7">
        <f t="shared" si="1"/>
        <v>142.38999999999999</v>
      </c>
      <c r="J41" s="8">
        <v>0.2</v>
      </c>
      <c r="K41" s="7">
        <f t="shared" si="4"/>
        <v>28.477999999999998</v>
      </c>
      <c r="N41" s="1">
        <v>26</v>
      </c>
      <c r="O41" s="1">
        <v>3</v>
      </c>
      <c r="P41" s="1">
        <f t="shared" ca="1" si="2"/>
        <v>2025</v>
      </c>
      <c r="Q41" s="1" t="str">
        <f t="shared" ca="1" si="3"/>
        <v>26/3/2025</v>
      </c>
    </row>
    <row r="42" spans="1:17" x14ac:dyDescent="0.2">
      <c r="A42" s="5">
        <v>9</v>
      </c>
      <c r="B42" s="6" t="str">
        <f t="shared" ca="1" si="0"/>
        <v>26/3/2025</v>
      </c>
      <c r="C42" s="5" t="s">
        <v>36</v>
      </c>
      <c r="D42" s="5" t="s">
        <v>15</v>
      </c>
      <c r="E42" s="5">
        <v>19</v>
      </c>
      <c r="F42" s="5" t="s">
        <v>21</v>
      </c>
      <c r="G42" s="5">
        <v>2</v>
      </c>
      <c r="H42" s="7">
        <v>68.602058410644531</v>
      </c>
      <c r="I42" s="7">
        <f t="shared" si="1"/>
        <v>137.19999999999999</v>
      </c>
      <c r="J42" s="8">
        <v>0.2</v>
      </c>
      <c r="K42" s="7">
        <f t="shared" si="4"/>
        <v>27.439999999999998</v>
      </c>
      <c r="M42" s="3"/>
      <c r="N42" s="1">
        <v>26</v>
      </c>
      <c r="O42" s="1">
        <v>3</v>
      </c>
      <c r="P42" s="1">
        <f t="shared" ca="1" si="2"/>
        <v>2025</v>
      </c>
      <c r="Q42" s="1" t="str">
        <f t="shared" ca="1" si="3"/>
        <v>26/3/2025</v>
      </c>
    </row>
    <row r="43" spans="1:17" x14ac:dyDescent="0.2">
      <c r="I43" s="10"/>
      <c r="L43" s="3"/>
    </row>
  </sheetData>
  <phoneticPr fontId="0" type="noConversion"/>
  <pageMargins left="0.78740157499999996" right="0.78740157499999996" top="0.984251969" bottom="0.984251969" header="0.5" footer="0.5"/>
  <pageSetup paperSize="9" orientation="portrait" horizontalDpi="4294967293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detail</vt:lpstr>
      <vt:lpstr>Feuil1</vt:lpstr>
      <vt:lpstr>Feuil2</vt:lpstr>
      <vt:lpstr>detail!Copie_de_CORPS_FACTURE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SERRES Régis</cp:lastModifiedBy>
  <cp:lastPrinted>2006-12-07T21:00:36Z</cp:lastPrinted>
  <dcterms:created xsi:type="dcterms:W3CDTF">2002-06-16T15:20:57Z</dcterms:created>
  <dcterms:modified xsi:type="dcterms:W3CDTF">2025-12-10T19:41:57Z</dcterms:modified>
</cp:coreProperties>
</file>