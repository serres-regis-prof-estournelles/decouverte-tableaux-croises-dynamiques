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SHIBA\Documents\4-TD management\TD4 tab croisés dyn\"/>
    </mc:Choice>
  </mc:AlternateContent>
  <xr:revisionPtr revIDLastSave="0" documentId="13_ncr:1_{4833288C-F951-466D-A0D9-6964B32EA10A}" xr6:coauthVersionLast="47" xr6:coauthVersionMax="47" xr10:uidLastSave="{00000000-0000-0000-0000-000000000000}"/>
  <bookViews>
    <workbookView xWindow="0" yWindow="0" windowWidth="24000" windowHeight="12900" xr2:uid="{00000000-000D-0000-FFFF-FFFF00000000}"/>
  </bookViews>
  <sheets>
    <sheet name="detail" sheetId="2" r:id="rId1"/>
    <sheet name="TCD1" sheetId="9" r:id="rId2"/>
    <sheet name="TCD2" sheetId="10" r:id="rId3"/>
    <sheet name="TCD3" sheetId="11" r:id="rId4"/>
    <sheet name="TCD4" sheetId="12" r:id="rId5"/>
    <sheet name="TCD5" sheetId="13" r:id="rId6"/>
    <sheet name="TCD6" sheetId="18" r:id="rId7"/>
    <sheet name="TCD7" sheetId="19" r:id="rId8"/>
    <sheet name="TCD8" sheetId="20" r:id="rId9"/>
    <sheet name="TCD9" sheetId="21" r:id="rId10"/>
    <sheet name="Feuil1" sheetId="8" r:id="rId11"/>
    <sheet name="Feuil2" sheetId="4" r:id="rId12"/>
  </sheets>
  <definedNames>
    <definedName name="Copie_de_CORPS_FACTURE" localSheetId="0">detail!$A$1:$K$42</definedName>
    <definedName name="Copie_de_CORPS_FACTURE" localSheetId="2">#REF!</definedName>
    <definedName name="Copie_de_CORPS_FACTURE" localSheetId="3">#REF!</definedName>
    <definedName name="Copie_de_CORPS_FACTURE" localSheetId="4">#REF!</definedName>
    <definedName name="Copie_de_CORPS_FACTURE" localSheetId="5">#REF!</definedName>
    <definedName name="Copie_de_CORPS_FACTURE" localSheetId="6">#REF!</definedName>
    <definedName name="Copie_de_CORPS_FACTURE" localSheetId="7">#REF!</definedName>
    <definedName name="Copie_de_CORPS_FACTURE" localSheetId="8">#REF!</definedName>
    <definedName name="Copie_de_CORPS_FACTURE" localSheetId="9">#REF!</definedName>
    <definedName name="Copie_de_CORPS_FACTURE">#REF!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3" i="2"/>
  <c r="K2" i="2"/>
</calcChain>
</file>

<file path=xl/sharedStrings.xml><?xml version="1.0" encoding="utf-8"?>
<sst xmlns="http://schemas.openxmlformats.org/spreadsheetml/2006/main" count="275" uniqueCount="47">
  <si>
    <t>N°FAC</t>
  </si>
  <si>
    <t>DATEFAC</t>
  </si>
  <si>
    <t>NOMCLI</t>
  </si>
  <si>
    <t>CODECAT</t>
  </si>
  <si>
    <t>CODEART</t>
  </si>
  <si>
    <t>DESIGNART</t>
  </si>
  <si>
    <t>QTESFAC</t>
  </si>
  <si>
    <t>PUHT</t>
  </si>
  <si>
    <t>HT</t>
  </si>
  <si>
    <t>TVAART</t>
  </si>
  <si>
    <t>MTVA</t>
  </si>
  <si>
    <t>Joue Club</t>
  </si>
  <si>
    <t>ACC</t>
  </si>
  <si>
    <t>Transparents photocopieurs/10</t>
  </si>
  <si>
    <t>Stylo à transparents permanents</t>
  </si>
  <si>
    <t>MOB</t>
  </si>
  <si>
    <t>Boîte de CD-R 74 mn/10</t>
  </si>
  <si>
    <t>Support mural pour moniteur</t>
  </si>
  <si>
    <t>OUV</t>
  </si>
  <si>
    <t>Créer un site avec Front Page</t>
  </si>
  <si>
    <t>WebCam Sauni</t>
  </si>
  <si>
    <t>Kit de reconnaissance vocale pour PC</t>
  </si>
  <si>
    <t>Micropuce</t>
  </si>
  <si>
    <t>Le mémento du comptable débutant</t>
  </si>
  <si>
    <t>Crion</t>
  </si>
  <si>
    <t>Boîte de CD-RW /10</t>
  </si>
  <si>
    <t>Filtre anti-reflet pour moniteur</t>
  </si>
  <si>
    <t>Mécanord</t>
  </si>
  <si>
    <t>PAP</t>
  </si>
  <si>
    <t>Ramette papier multi usages</t>
  </si>
  <si>
    <t>Programmation en javascript</t>
  </si>
  <si>
    <t>Transparents manuels/10</t>
  </si>
  <si>
    <t>Stylo à transparents effaçables</t>
  </si>
  <si>
    <t>Assurance Azur</t>
  </si>
  <si>
    <t>Calulatrice scientifique Cazio</t>
  </si>
  <si>
    <t>Les grandes courants du management</t>
  </si>
  <si>
    <t>SériTech</t>
  </si>
  <si>
    <t>Boîtes de disquettes 3,5''/10</t>
  </si>
  <si>
    <t>CFR</t>
  </si>
  <si>
    <t>Alpha+</t>
  </si>
  <si>
    <t>Lycée Estournelles</t>
  </si>
  <si>
    <t>Étiquettes de colonnes</t>
  </si>
  <si>
    <t>Total général</t>
  </si>
  <si>
    <t>Étiquettes de lignes</t>
  </si>
  <si>
    <t>Somme de HT</t>
  </si>
  <si>
    <t>Nombre de HT</t>
  </si>
  <si>
    <t>Moyenne de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</si>
</sst>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6" formatCode="d/m;@"/>
  </numFmts>
  <fonts count="4" x14ac:knownFonts="1">
    <font>
      <sz val="10"/>
      <name val="MS Sans Serif"/>
    </font>
    <font>
      <sz val="10"/>
      <name val="MS Sans Serif"/>
    </font>
    <font>
      <sz val="10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3" fillId="0" borderId="1" xfId="0" quotePrefix="1" applyNumberFormat="1" applyFont="1" applyBorder="1" applyAlignment="1">
      <alignment horizontal="center"/>
    </xf>
    <xf numFmtId="0" fontId="2" fillId="0" borderId="1" xfId="0" quotePrefix="1" applyNumberFormat="1" applyFont="1" applyBorder="1" applyAlignment="1">
      <alignment horizontal="center"/>
    </xf>
    <xf numFmtId="2" fontId="2" fillId="0" borderId="1" xfId="0" quotePrefix="1" applyNumberFormat="1" applyFont="1" applyBorder="1" applyAlignment="1">
      <alignment horizontal="center"/>
    </xf>
    <xf numFmtId="10" fontId="2" fillId="0" borderId="1" xfId="1" quotePrefix="1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horizontal="center"/>
    </xf>
    <xf numFmtId="0" fontId="3" fillId="0" borderId="0" xfId="0" quotePrefix="1" applyNumberFormat="1" applyFont="1" applyBorder="1" applyAlignment="1">
      <alignment horizontal="center"/>
    </xf>
    <xf numFmtId="0" fontId="0" fillId="0" borderId="0" xfId="0" pivotButton="1"/>
    <xf numFmtId="0" fontId="0" fillId="0" borderId="1" xfId="0" pivotButton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0" xfId="0" pivotButton="1" applyBorder="1"/>
    <xf numFmtId="0" fontId="0" fillId="0" borderId="0" xfId="0" applyBorder="1"/>
    <xf numFmtId="10" fontId="0" fillId="0" borderId="1" xfId="0" applyNumberFormat="1" applyBorder="1"/>
    <xf numFmtId="0" fontId="0" fillId="0" borderId="1" xfId="0" applyBorder="1"/>
    <xf numFmtId="166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95">
    <dxf>
      <numFmt numFmtId="164" formatCode="#,##0.00\ &quot;€&quot;"/>
    </dxf>
    <dxf>
      <numFmt numFmtId="0" formatCode="General"/>
    </dxf>
    <dxf>
      <numFmt numFmtId="0" formatCode="General"/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4" formatCode="#,##0.00\ &quot;€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4" formatCode="#,##0.00\ &quot;€&quot;"/>
    </dxf>
    <dxf>
      <numFmt numFmtId="164" formatCode="#,##0.00\ &quot;€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numFmt numFmtId="14" formatCode="0.00%"/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numFmt numFmtId="14" formatCode="0.00%"/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numFmt numFmtId="0" formatCode="General"/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€&quot;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€&quot;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€&quot;"/>
    </dxf>
    <dxf>
      <alignment horizontal="center" readingOrder="0"/>
    </dxf>
    <dxf>
      <alignment horizontal="center" readingOrder="0"/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4" formatCode="#,##0.00\ &quot;€&quot;"/>
    </dxf>
    <dxf>
      <numFmt numFmtId="164" formatCode="#,##0.00\ &quot;€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arsa" refreshedDate="42643.450915972222" createdVersion="3" refreshedVersion="3" minRefreshableVersion="3" recordCount="41" xr:uid="{00000000-000A-0000-FFFF-FFFF09000000}">
  <cacheSource type="worksheet">
    <worksheetSource ref="A1:K42" sheet="detail"/>
  </cacheSource>
  <cacheFields count="11">
    <cacheField name="N°FAC" numFmtId="0">
      <sharedItems containsSemiMixedTypes="0" containsString="0" containsNumber="1" containsInteger="1" minValue="1" maxValue="9"/>
    </cacheField>
    <cacheField name="DATEFAC" numFmtId="14">
      <sharedItems containsSemiMixedTypes="0" containsNonDate="0" containsDate="1" containsString="0" minDate="2016-03-05T00:00:00" maxDate="2016-03-27T00:00:00"/>
    </cacheField>
    <cacheField name="NOMCLI" numFmtId="0">
      <sharedItems count="9">
        <s v="Joue Club"/>
        <s v="Micropuce"/>
        <s v="Crion"/>
        <s v="Mécanord"/>
        <s v="CFR"/>
        <s v="Assurance Azur"/>
        <s v="Alpha+"/>
        <s v="Lycée Estournelles"/>
        <s v="SériTech"/>
      </sharedItems>
    </cacheField>
    <cacheField name="CODECAT" numFmtId="0">
      <sharedItems count="4">
        <s v="ACC"/>
        <s v="MOB"/>
        <s v="OUV"/>
        <s v="PAP"/>
      </sharedItems>
    </cacheField>
    <cacheField name="CODEART" numFmtId="0">
      <sharedItems containsSemiMixedTypes="0" containsString="0" containsNumber="1" containsInteger="1" minValue="1" maxValue="19"/>
    </cacheField>
    <cacheField name="DESIGNART" numFmtId="0">
      <sharedItems/>
    </cacheField>
    <cacheField name="QTESFAC" numFmtId="0">
      <sharedItems containsSemiMixedTypes="0" containsString="0" containsNumber="1" containsInteger="1" minValue="1" maxValue="100"/>
    </cacheField>
    <cacheField name="PUHT" numFmtId="2">
      <sharedItems containsSemiMixedTypes="0" containsString="0" containsNumber="1" minValue="1.1433676481246948" maxValue="71.193687438964844"/>
    </cacheField>
    <cacheField name="HT" numFmtId="2">
      <sharedItems containsSemiMixedTypes="0" containsString="0" containsNumber="1" minValue="3.43" maxValue="463.45"/>
    </cacheField>
    <cacheField name="TVAART" numFmtId="10">
      <sharedItems containsSemiMixedTypes="0" containsString="0" containsNumber="1" minValue="7.0000000000000007E-2" maxValue="0.2"/>
    </cacheField>
    <cacheField name="MTVA" numFmtId="2">
      <sharedItems containsSemiMixedTypes="0" containsString="0" containsNumber="1" minValue="0.68600000000000005" maxValue="92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n v="1"/>
    <d v="2016-03-05T00:00:00"/>
    <x v="0"/>
    <x v="0"/>
    <n v="1"/>
    <s v="Transparents photocopieurs/10"/>
    <n v="10"/>
    <n v="4.5734705924987793"/>
    <n v="45.73"/>
    <n v="0.2"/>
    <n v="9.145999999999999"/>
  </r>
  <r>
    <n v="1"/>
    <d v="2016-03-05T00:00:00"/>
    <x v="0"/>
    <x v="0"/>
    <n v="4"/>
    <s v="Stylo à transparents permanents"/>
    <n v="3"/>
    <n v="1.1433676481246948"/>
    <n v="3.43"/>
    <n v="0.2"/>
    <n v="0.68600000000000005"/>
  </r>
  <r>
    <n v="1"/>
    <d v="2016-03-05T00:00:00"/>
    <x v="0"/>
    <x v="1"/>
    <n v="6"/>
    <s v="Boîte de CD-R 74 mn/10"/>
    <n v="8"/>
    <n v="15.092453002929688"/>
    <n v="120.74"/>
    <n v="0.2"/>
    <n v="24.148"/>
  </r>
  <r>
    <n v="1"/>
    <d v="2016-03-05T00:00:00"/>
    <x v="0"/>
    <x v="1"/>
    <n v="12"/>
    <s v="Support mural pour moniteur"/>
    <n v="2"/>
    <n v="53.662055969238281"/>
    <n v="107.32"/>
    <n v="0.2"/>
    <n v="21.463999999999999"/>
  </r>
  <r>
    <n v="1"/>
    <d v="2016-03-05T00:00:00"/>
    <x v="0"/>
    <x v="2"/>
    <n v="14"/>
    <s v="Créer un site avec Front Page"/>
    <n v="1"/>
    <n v="19.056127548217773"/>
    <n v="19.059999999999999"/>
    <n v="7.0000000000000007E-2"/>
    <n v="1.3342000000000001"/>
  </r>
  <r>
    <n v="1"/>
    <d v="2016-03-05T00:00:00"/>
    <x v="0"/>
    <x v="1"/>
    <n v="18"/>
    <s v="WebCam Sauni"/>
    <n v="1"/>
    <n v="71.193687438964844"/>
    <n v="71.19"/>
    <n v="0.2"/>
    <n v="14.238"/>
  </r>
  <r>
    <n v="1"/>
    <d v="2016-03-05T00:00:00"/>
    <x v="0"/>
    <x v="1"/>
    <n v="19"/>
    <s v="Kit de reconnaissance vocale pour PC"/>
    <n v="4"/>
    <n v="68.602058410644531"/>
    <n v="274.41000000000003"/>
    <n v="0.2"/>
    <n v="54.882000000000005"/>
  </r>
  <r>
    <n v="2"/>
    <d v="2016-03-16T00:00:00"/>
    <x v="1"/>
    <x v="0"/>
    <n v="1"/>
    <s v="Transparents photocopieurs/10"/>
    <n v="30"/>
    <n v="4.5734705924987793"/>
    <n v="137.19999999999999"/>
    <n v="0.2"/>
    <n v="27.439999999999998"/>
  </r>
  <r>
    <n v="2"/>
    <d v="2016-03-16T00:00:00"/>
    <x v="1"/>
    <x v="1"/>
    <n v="6"/>
    <s v="Boîte de CD-R 74 mn/10"/>
    <n v="6"/>
    <n v="15.092453002929688"/>
    <n v="90.55"/>
    <n v="0.2"/>
    <n v="18.11"/>
  </r>
  <r>
    <n v="2"/>
    <d v="2016-03-16T00:00:00"/>
    <x v="1"/>
    <x v="2"/>
    <n v="14"/>
    <s v="Créer un site avec Front Page"/>
    <n v="5"/>
    <n v="19.056127548217773"/>
    <n v="95.28"/>
    <n v="7.0000000000000007E-2"/>
    <n v="6.6696000000000009"/>
  </r>
  <r>
    <n v="2"/>
    <d v="2016-03-16T00:00:00"/>
    <x v="1"/>
    <x v="2"/>
    <n v="17"/>
    <s v="Le mémento du comptable débutant"/>
    <n v="10"/>
    <n v="34.453479766845703"/>
    <n v="344.53"/>
    <n v="7.0000000000000007E-2"/>
    <n v="24.117100000000001"/>
  </r>
  <r>
    <n v="3"/>
    <d v="2016-03-16T00:00:00"/>
    <x v="2"/>
    <x v="1"/>
    <n v="6"/>
    <s v="Boîte de CD-R 74 mn/10"/>
    <n v="20"/>
    <n v="15.092453002929688"/>
    <n v="301.85000000000002"/>
    <n v="0.2"/>
    <n v="60.370000000000005"/>
  </r>
  <r>
    <n v="3"/>
    <d v="2016-03-16T00:00:00"/>
    <x v="2"/>
    <x v="1"/>
    <n v="7"/>
    <s v="Boîte de CD-RW /10"/>
    <n v="20"/>
    <n v="23.172250747680664"/>
    <n v="463.45"/>
    <n v="0.2"/>
    <n v="92.69"/>
  </r>
  <r>
    <n v="3"/>
    <d v="2016-03-16T00:00:00"/>
    <x v="2"/>
    <x v="1"/>
    <n v="13"/>
    <s v="Filtre anti-reflet pour moniteur"/>
    <n v="8"/>
    <n v="24.23939323425293"/>
    <n v="193.92"/>
    <n v="0.2"/>
    <n v="38.783999999999999"/>
  </r>
  <r>
    <n v="4"/>
    <d v="2016-03-19T00:00:00"/>
    <x v="3"/>
    <x v="0"/>
    <n v="1"/>
    <s v="Transparents photocopieurs/10"/>
    <n v="7"/>
    <n v="4.5734705924987793"/>
    <n v="32.01"/>
    <n v="0.2"/>
    <n v="6.4020000000000001"/>
  </r>
  <r>
    <n v="4"/>
    <d v="2016-03-19T00:00:00"/>
    <x v="3"/>
    <x v="0"/>
    <n v="4"/>
    <s v="Stylo à transparents permanents"/>
    <n v="10"/>
    <n v="1.1433676481246948"/>
    <n v="11.43"/>
    <n v="0.2"/>
    <n v="2.286"/>
  </r>
  <r>
    <n v="4"/>
    <d v="2016-03-19T00:00:00"/>
    <x v="3"/>
    <x v="3"/>
    <n v="10"/>
    <s v="Ramette papier multi usages"/>
    <n v="5"/>
    <n v="6.8602056503295898"/>
    <n v="34.299999999999997"/>
    <n v="0.2"/>
    <n v="6.8599999999999994"/>
  </r>
  <r>
    <n v="4"/>
    <d v="2016-03-19T00:00:00"/>
    <x v="3"/>
    <x v="2"/>
    <n v="15"/>
    <s v="Programmation en javascript"/>
    <n v="2"/>
    <n v="38.112255096435547"/>
    <n v="76.22"/>
    <n v="7.0000000000000007E-2"/>
    <n v="5.3354000000000008"/>
  </r>
  <r>
    <n v="5"/>
    <d v="2016-03-22T00:00:00"/>
    <x v="4"/>
    <x v="0"/>
    <n v="1"/>
    <s v="Transparents photocopieurs/10"/>
    <n v="100"/>
    <n v="4.5734705924987793"/>
    <n v="457.35"/>
    <n v="0.2"/>
    <n v="91.470000000000013"/>
  </r>
  <r>
    <n v="5"/>
    <d v="2016-03-22T00:00:00"/>
    <x v="4"/>
    <x v="0"/>
    <n v="2"/>
    <s v="Transparents manuels/10"/>
    <n v="100"/>
    <n v="2.0580618381500244"/>
    <n v="205.81"/>
    <n v="0.2"/>
    <n v="41.162000000000006"/>
  </r>
  <r>
    <n v="5"/>
    <d v="2016-03-22T00:00:00"/>
    <x v="4"/>
    <x v="0"/>
    <n v="3"/>
    <s v="Stylo à transparents effaçables"/>
    <n v="50"/>
    <n v="1.1433676481246948"/>
    <n v="57.17"/>
    <n v="0.2"/>
    <n v="11.434000000000001"/>
  </r>
  <r>
    <n v="5"/>
    <d v="2016-03-22T00:00:00"/>
    <x v="4"/>
    <x v="0"/>
    <n v="4"/>
    <s v="Stylo à transparents permanents"/>
    <n v="50"/>
    <n v="1.1433676481246948"/>
    <n v="57.17"/>
    <n v="0.2"/>
    <n v="11.434000000000001"/>
  </r>
  <r>
    <n v="6"/>
    <d v="2016-03-23T00:00:00"/>
    <x v="5"/>
    <x v="0"/>
    <n v="3"/>
    <s v="Stylo à transparents effaçables"/>
    <n v="10"/>
    <n v="1.1433676481246948"/>
    <n v="11.43"/>
    <n v="0.2"/>
    <n v="2.286"/>
  </r>
  <r>
    <n v="6"/>
    <d v="2016-03-23T00:00:00"/>
    <x v="5"/>
    <x v="0"/>
    <n v="4"/>
    <s v="Stylo à transparents permanents"/>
    <n v="20"/>
    <n v="1.1433676481246948"/>
    <n v="22.87"/>
    <n v="0.2"/>
    <n v="4.5740000000000007"/>
  </r>
  <r>
    <n v="6"/>
    <d v="2016-03-23T00:00:00"/>
    <x v="5"/>
    <x v="1"/>
    <n v="12"/>
    <s v="Support mural pour moniteur"/>
    <n v="4"/>
    <n v="53.662055969238281"/>
    <n v="214.65"/>
    <n v="0.2"/>
    <n v="42.930000000000007"/>
  </r>
  <r>
    <n v="6"/>
    <d v="2016-03-23T00:00:00"/>
    <x v="5"/>
    <x v="1"/>
    <n v="13"/>
    <s v="Filtre anti-reflet pour moniteur"/>
    <n v="5"/>
    <n v="24.23939323425293"/>
    <n v="121.2"/>
    <n v="0.2"/>
    <n v="24.240000000000002"/>
  </r>
  <r>
    <n v="7"/>
    <d v="2016-03-24T00:00:00"/>
    <x v="6"/>
    <x v="1"/>
    <n v="7"/>
    <s v="Boîte de CD-RW /10"/>
    <n v="10"/>
    <n v="23.172250747680664"/>
    <n v="231.72"/>
    <n v="0.2"/>
    <n v="46.344000000000001"/>
  </r>
  <r>
    <n v="7"/>
    <d v="2016-03-24T00:00:00"/>
    <x v="6"/>
    <x v="1"/>
    <n v="8"/>
    <s v="Calulatrice scientifique Cazio"/>
    <n v="2"/>
    <n v="34.301029205322266"/>
    <n v="68.599999999999994"/>
    <n v="0.2"/>
    <n v="13.719999999999999"/>
  </r>
  <r>
    <n v="7"/>
    <d v="2016-03-24T00:00:00"/>
    <x v="6"/>
    <x v="2"/>
    <n v="16"/>
    <s v="Les grandes courants du management"/>
    <n v="5"/>
    <n v="11.433676719665527"/>
    <n v="57.17"/>
    <n v="7.0000000000000007E-2"/>
    <n v="4.0019000000000009"/>
  </r>
  <r>
    <n v="8"/>
    <d v="2016-03-24T00:00:00"/>
    <x v="7"/>
    <x v="0"/>
    <n v="3"/>
    <s v="Stylo à transparents effaçables"/>
    <n v="100"/>
    <n v="1.1433676481246948"/>
    <n v="114.34"/>
    <n v="0.2"/>
    <n v="22.868000000000002"/>
  </r>
  <r>
    <n v="8"/>
    <d v="2016-03-24T00:00:00"/>
    <x v="7"/>
    <x v="0"/>
    <n v="4"/>
    <s v="Stylo à transparents permanents"/>
    <n v="100"/>
    <n v="1.1433676481246948"/>
    <n v="114.34"/>
    <n v="0.2"/>
    <n v="22.868000000000002"/>
  </r>
  <r>
    <n v="8"/>
    <d v="2016-03-24T00:00:00"/>
    <x v="7"/>
    <x v="1"/>
    <n v="6"/>
    <s v="Boîte de CD-R 74 mn/10"/>
    <n v="20"/>
    <n v="15.092453002929688"/>
    <n v="301.85000000000002"/>
    <n v="0.2"/>
    <n v="60.370000000000005"/>
  </r>
  <r>
    <n v="9"/>
    <d v="2016-03-26T00:00:00"/>
    <x v="8"/>
    <x v="0"/>
    <n v="3"/>
    <s v="Stylo à transparents effaçables"/>
    <n v="10"/>
    <n v="1.1433676481246948"/>
    <n v="11.43"/>
    <n v="0.2"/>
    <n v="2.286"/>
  </r>
  <r>
    <n v="9"/>
    <d v="2016-03-26T00:00:00"/>
    <x v="8"/>
    <x v="0"/>
    <n v="4"/>
    <s v="Stylo à transparents permanents"/>
    <n v="10"/>
    <n v="1.1433676481246948"/>
    <n v="11.43"/>
    <n v="0.2"/>
    <n v="2.286"/>
  </r>
  <r>
    <n v="9"/>
    <d v="2016-03-26T00:00:00"/>
    <x v="8"/>
    <x v="1"/>
    <n v="5"/>
    <s v="Boîtes de disquettes 3,5''/10"/>
    <n v="2"/>
    <n v="5.3357157707214355"/>
    <n v="10.67"/>
    <n v="0.2"/>
    <n v="2.1339999999999999"/>
  </r>
  <r>
    <n v="9"/>
    <d v="2016-03-26T00:00:00"/>
    <x v="8"/>
    <x v="1"/>
    <n v="6"/>
    <s v="Boîte de CD-R 74 mn/10"/>
    <n v="2"/>
    <n v="15.092453002929688"/>
    <n v="30.18"/>
    <n v="0.2"/>
    <n v="6.0360000000000005"/>
  </r>
  <r>
    <n v="9"/>
    <d v="2016-03-26T00:00:00"/>
    <x v="8"/>
    <x v="1"/>
    <n v="8"/>
    <s v="Calulatrice scientifique Cazio"/>
    <n v="1"/>
    <n v="34.301029205322266"/>
    <n v="34.299999999999997"/>
    <n v="0.2"/>
    <n v="6.8599999999999994"/>
  </r>
  <r>
    <n v="9"/>
    <d v="2016-03-26T00:00:00"/>
    <x v="8"/>
    <x v="3"/>
    <n v="10"/>
    <s v="Ramette papier multi usages"/>
    <n v="10"/>
    <n v="6.8602056503295898"/>
    <n v="68.599999999999994"/>
    <n v="0.2"/>
    <n v="13.719999999999999"/>
  </r>
  <r>
    <n v="9"/>
    <d v="2016-03-26T00:00:00"/>
    <x v="8"/>
    <x v="1"/>
    <n v="13"/>
    <s v="Filtre anti-reflet pour moniteur"/>
    <n v="1"/>
    <n v="24.23939323425293"/>
    <n v="24.24"/>
    <n v="0.2"/>
    <n v="4.8479999999999999"/>
  </r>
  <r>
    <n v="9"/>
    <d v="2016-03-26T00:00:00"/>
    <x v="8"/>
    <x v="1"/>
    <n v="18"/>
    <s v="WebCam Sauni"/>
    <n v="2"/>
    <n v="71.193687438964844"/>
    <n v="142.38999999999999"/>
    <n v="0.2"/>
    <n v="28.477999999999998"/>
  </r>
  <r>
    <n v="9"/>
    <d v="2016-03-26T00:00:00"/>
    <x v="8"/>
    <x v="1"/>
    <n v="19"/>
    <s v="Kit de reconnaissance vocale pour PC"/>
    <n v="2"/>
    <n v="68.602058410644531"/>
    <n v="137.19999999999999"/>
    <n v="0.2"/>
    <n v="27.43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0" applyNumberFormats="0" applyBorderFormats="0" applyFontFormats="0" applyPatternFormats="0" applyAlignmentFormats="0" applyWidthHeightFormats="1" dataCaption="Valeurs" updatedVersion="8" minRefreshableVersion="3" showCalcMbrs="0" useAutoFormatting="1" itemPrintTitles="1" createdVersion="3" indent="0" outline="1" outlineData="1" multipleFieldFilters="0">
  <location ref="A3:F14" firstHeaderRow="1" firstDataRow="2" firstDataCol="1"/>
  <pivotFields count="11">
    <pivotField showAll="0"/>
    <pivotField numFmtId="14" showAll="0"/>
    <pivotField axis="axisRow" showAll="0">
      <items count="10">
        <item x="6"/>
        <item x="5"/>
        <item x="4"/>
        <item x="2"/>
        <item x="0"/>
        <item x="7"/>
        <item x="3"/>
        <item x="1"/>
        <item x="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omme de HT" fld="8" baseField="0" baseItem="0"/>
  </dataFields>
  <formats count="8">
    <format dxfId="94">
      <pivotArea dataOnly="0" labelOnly="1" grandCol="1" outline="0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grandCol="1" outline="0" fieldPosition="0"/>
    </format>
    <format dxfId="90">
      <pivotArea type="origin" dataOnly="0" labelOnly="1" outline="0" fieldPosition="0"/>
    </format>
    <format dxfId="89">
      <pivotArea field="3" type="button" dataOnly="0" labelOnly="1" outline="0" axis="axisCol" fieldPosition="0"/>
    </format>
    <format dxfId="88">
      <pivotArea type="topRight" dataOnly="0" labelOnly="1" outline="0" fieldPosition="0"/>
    </format>
    <format dxfId="8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D6" firstHeaderRow="1" firstDataRow="2" firstDataCol="1"/>
  <pivotFields count="11">
    <pivotField showAll="0"/>
    <pivotField numFmtId="14" showAll="0"/>
    <pivotField axis="axisRow" showAll="0">
      <items count="10">
        <item h="1" x="6"/>
        <item h="1" x="5"/>
        <item h="1" x="4"/>
        <item h="1" x="2"/>
        <item h="1" x="0"/>
        <item x="7"/>
        <item h="1" x="3"/>
        <item h="1" x="1"/>
        <item h="1" x="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2"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HT" fld="8" baseField="0" baseItem="0" numFmtId="164"/>
  </dataFields>
  <formats count="9">
    <format dxfId="86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85">
      <pivotArea dataOnly="0" labelOnly="1" grandCol="1" outline="0" fieldPosition="0"/>
    </format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7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D13" firstHeaderRow="1" firstDataRow="2" firstDataCol="1"/>
  <pivotFields count="11">
    <pivotField showAll="0"/>
    <pivotField numFmtId="14" showAll="0"/>
    <pivotField axis="axisRow" showAll="0">
      <items count="10">
        <item x="6"/>
        <item x="5"/>
        <item h="1" x="4"/>
        <item x="2"/>
        <item x="0"/>
        <item x="7"/>
        <item x="3"/>
        <item x="1"/>
        <item x="8"/>
        <item t="default"/>
      </items>
    </pivotField>
    <pivotField axis="axisCol" showAll="0">
      <items count="5">
        <item h="1" x="0"/>
        <item x="1"/>
        <item x="2"/>
        <item h="1"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3">
    <i>
      <x v="1"/>
    </i>
    <i>
      <x v="2"/>
    </i>
    <i t="grand">
      <x/>
    </i>
  </colItems>
  <dataFields count="1">
    <dataField name="Somme de HT" fld="8" baseField="0" baseItem="0" numFmtId="164"/>
  </dataFields>
  <formats count="9"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Col="1" outline="0" fieldPosition="0"/>
    </format>
    <format dxfId="75">
      <pivotArea outline="0" collapsedLevelsAreSubtotals="1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E13" firstHeaderRow="1" firstDataRow="2" firstDataCol="1"/>
  <pivotFields count="11">
    <pivotField showAll="0"/>
    <pivotField numFmtId="14" showAll="0"/>
    <pivotField axis="axisRow" showAll="0">
      <items count="10">
        <item x="6"/>
        <item x="5"/>
        <item h="1" x="4"/>
        <item x="2"/>
        <item x="0"/>
        <item x="7"/>
        <item x="3"/>
        <item x="1"/>
        <item x="8"/>
        <item t="default"/>
      </items>
    </pivotField>
    <pivotField axis="axisCol" showAll="0">
      <items count="5">
        <item h="1" x="0"/>
        <item x="1"/>
        <item x="2"/>
        <item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Somme de HT" fld="8" baseField="0" baseItem="0" numFmtId="164"/>
  </dataFields>
  <formats count="9">
    <format dxfId="68">
      <pivotArea dataOnly="0" labelOnly="1" fieldPosition="0">
        <references count="1">
          <reference field="3" count="0"/>
        </references>
      </pivotArea>
    </format>
    <format dxfId="67">
      <pivotArea dataOnly="0" labelOnly="1" grandCol="1" outline="0" fieldPosition="0"/>
    </format>
    <format dxfId="66">
      <pivotArea outline="0" collapsedLevelsAreSubtotals="1" fieldPosition="0"/>
    </format>
    <format dxfId="65">
      <pivotArea outline="0" collapsedLevelsAreSubtotals="1" fieldPosition="0"/>
    </format>
    <format dxfId="64">
      <pivotArea field="2" type="button" dataOnly="0" labelOnly="1" outline="0" axis="axisRow" fieldPosition="0"/>
    </format>
    <format dxfId="63">
      <pivotArea dataOnly="0" labelOnly="1" fieldPosition="0">
        <references count="1">
          <reference field="2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3" count="0"/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F14" firstHeaderRow="1" firstDataRow="2" firstDataCol="1"/>
  <pivotFields count="11">
    <pivotField showAll="0"/>
    <pivotField numFmtId="14" showAll="0"/>
    <pivotField axis="axisRow" showAll="0" sortType="ascending">
      <items count="10">
        <item x="6"/>
        <item x="5"/>
        <item x="4"/>
        <item x="2"/>
        <item x="0"/>
        <item x="7"/>
        <item x="3"/>
        <item x="1"/>
        <item x="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HT" fld="8" subtotal="count" baseField="0" baseItem="0"/>
  </dataFields>
  <formats count="12">
    <format dxfId="59">
      <pivotArea dataOnly="0" labelOnly="1" fieldPosition="0">
        <references count="1">
          <reference field="3" count="0"/>
        </references>
      </pivotArea>
    </format>
    <format dxfId="58">
      <pivotArea dataOnly="0" labelOnly="1" grandCol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grandCol="1" outline="0" fieldPosition="0"/>
    </format>
    <format dxfId="53">
      <pivotArea type="origin" dataOnly="0" labelOnly="1" outline="0" fieldPosition="0"/>
    </format>
    <format dxfId="52">
      <pivotArea field="3" type="button" dataOnly="0" labelOnly="1" outline="0" axis="axisCol" fieldPosition="0"/>
    </format>
    <format dxfId="51">
      <pivotArea type="topRight" dataOnly="0" labelOnly="1" outline="0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grandCol="1" outline="0" fieldPosition="0"/>
    </format>
    <format dxfId="4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F14" firstHeaderRow="1" firstDataRow="2" firstDataCol="1"/>
  <pivotFields count="11">
    <pivotField showAll="0"/>
    <pivotField numFmtId="14" showAll="0"/>
    <pivotField axis="axisRow" showAll="0">
      <items count="10">
        <item x="6"/>
        <item x="5"/>
        <item x="4"/>
        <item x="2"/>
        <item x="0"/>
        <item x="7"/>
        <item x="3"/>
        <item x="1"/>
        <item x="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omme de HT" fld="8" showDataAs="percentOfRow" baseField="0" baseItem="0" numFmtId="10"/>
  </dataFields>
  <formats count="12"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grandCol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Col="1" outline="0" fieldPosition="0"/>
    </format>
    <format dxfId="41">
      <pivotArea type="origin" dataOnly="0" labelOnly="1" outline="0" fieldPosition="0"/>
    </format>
    <format dxfId="40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dataOnly="0" labelOnly="1" grandCol="1" outline="0" fieldPosition="0"/>
    </format>
    <format dxfId="3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F14" firstHeaderRow="1" firstDataRow="2" firstDataCol="1"/>
  <pivotFields count="11">
    <pivotField showAll="0"/>
    <pivotField numFmtId="14" showAll="0"/>
    <pivotField axis="axisRow" showAll="0">
      <items count="10">
        <item x="6"/>
        <item x="5"/>
        <item x="4"/>
        <item x="2"/>
        <item x="0"/>
        <item x="7"/>
        <item x="3"/>
        <item x="1"/>
        <item x="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omme de HT" fld="8" showDataAs="percentOfCol" baseField="0" baseItem="0" numFmtId="10"/>
  </dataFields>
  <formats count="12"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Col="1" outline="0" fieldPosition="0"/>
    </format>
    <format dxfId="29">
      <pivotArea type="origin" dataOnly="0" labelOnly="1" outline="0" fieldPosition="0"/>
    </format>
    <format dxfId="28">
      <pivotArea field="3" type="button" dataOnly="0" labelOnly="1" outline="0" axis="axisCol" fieldPosition="0"/>
    </format>
    <format dxfId="27">
      <pivotArea type="topRight" dataOnly="0" labelOnly="1" outline="0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Col="1" outline="0" fieldPosition="0"/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F14" firstHeaderRow="1" firstDataRow="2" firstDataCol="1"/>
  <pivotFields count="11">
    <pivotField showAll="0"/>
    <pivotField numFmtId="14" showAll="0"/>
    <pivotField axis="axisRow" showAll="0">
      <items count="10">
        <item x="6"/>
        <item x="5"/>
        <item x="4"/>
        <item x="2"/>
        <item x="0"/>
        <item x="7"/>
        <item x="3"/>
        <item x="1"/>
        <item x="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Moyenne de HT" fld="8" subtotal="average" baseField="0" baseItem="0" numFmtId="164"/>
  </dataFields>
  <formats count="14"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grandCol="1" outline="0" fieldPosition="0"/>
    </format>
    <format dxfId="21">
      <pivotArea type="all" dataOnly="0" outline="0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Col="1" outline="0" fieldPosition="0"/>
    </format>
    <format dxfId="18">
      <pivotArea type="origin" dataOnly="0" labelOnly="1" outline="0" fieldPosition="0"/>
    </format>
    <format dxfId="17">
      <pivotArea field="3" type="button" dataOnly="0" labelOnly="1" outline="0" axis="axisCol" fieldPosition="0"/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Col="1" outline="0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B13" firstHeaderRow="1" firstDataRow="1" firstDataCol="1"/>
  <pivotFields count="11">
    <pivotField showAll="0"/>
    <pivotField numFmtId="14" showAll="0"/>
    <pivotField axis="axisRow" showAll="0">
      <items count="10">
        <item x="6"/>
        <item x="5"/>
        <item x="4"/>
        <item x="2"/>
        <item x="0"/>
        <item x="7"/>
        <item x="3"/>
        <item x="1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0" showAll="0"/>
    <pivotField numFmtId="2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oyenne de HT" fld="8" subtotal="average" baseField="0" baseItem="0" numFmtId="164"/>
  </dataFields>
  <formats count="10">
    <format dxfId="9">
      <pivotArea dataOnly="0" labelOnly="1" grandCol="1" outline="0" fieldPosition="0"/>
    </format>
    <format dxfId="8">
      <pivotArea type="all" dataOnly="0" outline="0" fieldPosition="0"/>
    </format>
    <format dxfId="7">
      <pivotArea dataOnly="0" labelOnly="1" grandCol="1" outline="0" fieldPosition="0"/>
    </format>
    <format dxfId="6">
      <pivotArea type="origin" dataOnly="0" labelOnly="1" outline="0" fieldPosition="0"/>
    </format>
    <format dxfId="5">
      <pivotArea field="3" type="button" dataOnly="0" labelOnly="1" outline="0"/>
    </format>
    <format dxfId="4">
      <pivotArea type="topRight" dataOnly="0" labelOnly="1" outline="0" fieldPosition="0"/>
    </format>
    <format dxfId="3">
      <pivotArea dataOnly="0" labelOnly="1" grandCol="1" outline="0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tabColor theme="6"/>
  </sheetPr>
  <dimension ref="A1:M43"/>
  <sheetViews>
    <sheetView tabSelected="1" workbookViewId="0">
      <selection activeCell="C19" sqref="C19"/>
    </sheetView>
  </sheetViews>
  <sheetFormatPr baseColWidth="10" defaultColWidth="9.140625" defaultRowHeight="12.75" x14ac:dyDescent="0.2"/>
  <cols>
    <col min="1" max="1" width="5.5703125" style="2" bestFit="1" customWidth="1"/>
    <col min="2" max="2" width="9.28515625" style="2" bestFit="1" customWidth="1"/>
    <col min="3" max="3" width="15.5703125" style="2" customWidth="1"/>
    <col min="4" max="4" width="8.85546875" style="2" customWidth="1"/>
    <col min="5" max="5" width="8.42578125" style="2" bestFit="1" customWidth="1"/>
    <col min="6" max="6" width="27.28515625" style="2" bestFit="1" customWidth="1"/>
    <col min="7" max="7" width="8" style="2" bestFit="1" customWidth="1"/>
    <col min="8" max="8" width="5.28515625" style="2" bestFit="1" customWidth="1"/>
    <col min="9" max="9" width="6.5703125" style="2" bestFit="1" customWidth="1"/>
    <col min="10" max="10" width="7.140625" style="2" bestFit="1" customWidth="1"/>
    <col min="11" max="11" width="5.28515625" style="2" bestFit="1" customWidth="1"/>
    <col min="12" max="16384" width="9.140625" style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0"/>
    </row>
    <row r="2" spans="1:12" x14ac:dyDescent="0.2">
      <c r="A2" s="5">
        <v>1</v>
      </c>
      <c r="B2" s="22">
        <v>44625</v>
      </c>
      <c r="C2" s="5" t="s">
        <v>11</v>
      </c>
      <c r="D2" s="5" t="s">
        <v>12</v>
      </c>
      <c r="E2" s="5">
        <v>1</v>
      </c>
      <c r="F2" s="5" t="s">
        <v>13</v>
      </c>
      <c r="G2" s="5">
        <v>10</v>
      </c>
      <c r="H2" s="6">
        <v>4.5734705924987793</v>
      </c>
      <c r="I2" s="6">
        <f>ROUND(G2*H2,2)</f>
        <v>45.73</v>
      </c>
      <c r="J2" s="7">
        <v>0.2</v>
      </c>
      <c r="K2" s="6">
        <f>J2*I2</f>
        <v>9.145999999999999</v>
      </c>
      <c r="L2" s="3"/>
    </row>
    <row r="3" spans="1:12" x14ac:dyDescent="0.2">
      <c r="A3" s="5">
        <v>1</v>
      </c>
      <c r="B3" s="22">
        <v>44625</v>
      </c>
      <c r="C3" s="5" t="s">
        <v>11</v>
      </c>
      <c r="D3" s="5" t="s">
        <v>12</v>
      </c>
      <c r="E3" s="5">
        <v>4</v>
      </c>
      <c r="F3" s="5" t="s">
        <v>14</v>
      </c>
      <c r="G3" s="5">
        <v>3</v>
      </c>
      <c r="H3" s="6">
        <v>1.1433676481246948</v>
      </c>
      <c r="I3" s="6">
        <f t="shared" ref="I3:I42" si="0">ROUND(G3*H3,2)</f>
        <v>3.43</v>
      </c>
      <c r="J3" s="7">
        <v>0.2</v>
      </c>
      <c r="K3" s="6">
        <f>J3*I3</f>
        <v>0.68600000000000005</v>
      </c>
      <c r="L3" s="8"/>
    </row>
    <row r="4" spans="1:12" x14ac:dyDescent="0.2">
      <c r="A4" s="5">
        <v>1</v>
      </c>
      <c r="B4" s="22">
        <v>44625</v>
      </c>
      <c r="C4" s="5" t="s">
        <v>11</v>
      </c>
      <c r="D4" s="5" t="s">
        <v>15</v>
      </c>
      <c r="E4" s="5">
        <v>6</v>
      </c>
      <c r="F4" s="5" t="s">
        <v>16</v>
      </c>
      <c r="G4" s="5">
        <v>8</v>
      </c>
      <c r="H4" s="6">
        <v>15.092453002929688</v>
      </c>
      <c r="I4" s="6">
        <f t="shared" si="0"/>
        <v>120.74</v>
      </c>
      <c r="J4" s="7">
        <v>0.2</v>
      </c>
      <c r="K4" s="6">
        <f t="shared" ref="K4:K42" si="1">J4*I4</f>
        <v>24.148</v>
      </c>
    </row>
    <row r="5" spans="1:12" x14ac:dyDescent="0.2">
      <c r="A5" s="5">
        <v>1</v>
      </c>
      <c r="B5" s="22">
        <v>44625</v>
      </c>
      <c r="C5" s="5" t="s">
        <v>11</v>
      </c>
      <c r="D5" s="5" t="s">
        <v>15</v>
      </c>
      <c r="E5" s="5">
        <v>12</v>
      </c>
      <c r="F5" s="5" t="s">
        <v>17</v>
      </c>
      <c r="G5" s="5">
        <v>2</v>
      </c>
      <c r="H5" s="6">
        <v>53.662055969238281</v>
      </c>
      <c r="I5" s="6">
        <f t="shared" si="0"/>
        <v>107.32</v>
      </c>
      <c r="J5" s="7">
        <v>0.2</v>
      </c>
      <c r="K5" s="6">
        <f t="shared" si="1"/>
        <v>21.463999999999999</v>
      </c>
    </row>
    <row r="6" spans="1:12" x14ac:dyDescent="0.2">
      <c r="A6" s="5">
        <v>1</v>
      </c>
      <c r="B6" s="22">
        <v>44625</v>
      </c>
      <c r="C6" s="5" t="s">
        <v>11</v>
      </c>
      <c r="D6" s="5" t="s">
        <v>18</v>
      </c>
      <c r="E6" s="5">
        <v>14</v>
      </c>
      <c r="F6" s="5" t="s">
        <v>19</v>
      </c>
      <c r="G6" s="5">
        <v>1</v>
      </c>
      <c r="H6" s="6">
        <v>19.056127548217773</v>
      </c>
      <c r="I6" s="6">
        <f t="shared" si="0"/>
        <v>19.059999999999999</v>
      </c>
      <c r="J6" s="7">
        <v>7.0000000000000007E-2</v>
      </c>
      <c r="K6" s="6">
        <f t="shared" si="1"/>
        <v>1.3342000000000001</v>
      </c>
    </row>
    <row r="7" spans="1:12" x14ac:dyDescent="0.2">
      <c r="A7" s="5">
        <v>1</v>
      </c>
      <c r="B7" s="22">
        <v>44625</v>
      </c>
      <c r="C7" s="5" t="s">
        <v>11</v>
      </c>
      <c r="D7" s="5" t="s">
        <v>15</v>
      </c>
      <c r="E7" s="5">
        <v>18</v>
      </c>
      <c r="F7" s="5" t="s">
        <v>20</v>
      </c>
      <c r="G7" s="5">
        <v>1</v>
      </c>
      <c r="H7" s="6">
        <v>71.193687438964844</v>
      </c>
      <c r="I7" s="6">
        <f t="shared" si="0"/>
        <v>71.19</v>
      </c>
      <c r="J7" s="7">
        <v>0.2</v>
      </c>
      <c r="K7" s="6">
        <f t="shared" si="1"/>
        <v>14.238</v>
      </c>
    </row>
    <row r="8" spans="1:12" x14ac:dyDescent="0.2">
      <c r="A8" s="5">
        <v>1</v>
      </c>
      <c r="B8" s="22">
        <v>44625</v>
      </c>
      <c r="C8" s="5" t="s">
        <v>11</v>
      </c>
      <c r="D8" s="5" t="s">
        <v>15</v>
      </c>
      <c r="E8" s="5">
        <v>19</v>
      </c>
      <c r="F8" s="5" t="s">
        <v>21</v>
      </c>
      <c r="G8" s="5">
        <v>4</v>
      </c>
      <c r="H8" s="6">
        <v>68.602058410644531</v>
      </c>
      <c r="I8" s="6">
        <f t="shared" si="0"/>
        <v>274.41000000000003</v>
      </c>
      <c r="J8" s="7">
        <v>0.2</v>
      </c>
      <c r="K8" s="6">
        <f t="shared" si="1"/>
        <v>54.882000000000005</v>
      </c>
    </row>
    <row r="9" spans="1:12" x14ac:dyDescent="0.2">
      <c r="A9" s="5">
        <v>2</v>
      </c>
      <c r="B9" s="22">
        <v>44636</v>
      </c>
      <c r="C9" s="5" t="s">
        <v>22</v>
      </c>
      <c r="D9" s="5" t="s">
        <v>12</v>
      </c>
      <c r="E9" s="5">
        <v>1</v>
      </c>
      <c r="F9" s="5" t="s">
        <v>13</v>
      </c>
      <c r="G9" s="5">
        <v>30</v>
      </c>
      <c r="H9" s="6">
        <v>4.5734705924987793</v>
      </c>
      <c r="I9" s="6">
        <f t="shared" si="0"/>
        <v>137.19999999999999</v>
      </c>
      <c r="J9" s="7">
        <v>0.2</v>
      </c>
      <c r="K9" s="6">
        <f t="shared" si="1"/>
        <v>27.439999999999998</v>
      </c>
    </row>
    <row r="10" spans="1:12" x14ac:dyDescent="0.2">
      <c r="A10" s="5">
        <v>2</v>
      </c>
      <c r="B10" s="22">
        <v>44636</v>
      </c>
      <c r="C10" s="5" t="s">
        <v>22</v>
      </c>
      <c r="D10" s="5" t="s">
        <v>15</v>
      </c>
      <c r="E10" s="5">
        <v>6</v>
      </c>
      <c r="F10" s="5" t="s">
        <v>16</v>
      </c>
      <c r="G10" s="5">
        <v>6</v>
      </c>
      <c r="H10" s="6">
        <v>15.092453002929688</v>
      </c>
      <c r="I10" s="6">
        <f t="shared" si="0"/>
        <v>90.55</v>
      </c>
      <c r="J10" s="7">
        <v>0.2</v>
      </c>
      <c r="K10" s="6">
        <f t="shared" si="1"/>
        <v>18.11</v>
      </c>
    </row>
    <row r="11" spans="1:12" x14ac:dyDescent="0.2">
      <c r="A11" s="5">
        <v>2</v>
      </c>
      <c r="B11" s="22">
        <v>44636</v>
      </c>
      <c r="C11" s="5" t="s">
        <v>22</v>
      </c>
      <c r="D11" s="5" t="s">
        <v>18</v>
      </c>
      <c r="E11" s="5">
        <v>14</v>
      </c>
      <c r="F11" s="5" t="s">
        <v>19</v>
      </c>
      <c r="G11" s="5">
        <v>5</v>
      </c>
      <c r="H11" s="6">
        <v>19.056127548217773</v>
      </c>
      <c r="I11" s="6">
        <f t="shared" si="0"/>
        <v>95.28</v>
      </c>
      <c r="J11" s="7">
        <v>7.0000000000000007E-2</v>
      </c>
      <c r="K11" s="6">
        <f t="shared" si="1"/>
        <v>6.6696000000000009</v>
      </c>
    </row>
    <row r="12" spans="1:12" x14ac:dyDescent="0.2">
      <c r="A12" s="5">
        <v>2</v>
      </c>
      <c r="B12" s="22">
        <v>44636</v>
      </c>
      <c r="C12" s="5" t="s">
        <v>22</v>
      </c>
      <c r="D12" s="5" t="s">
        <v>18</v>
      </c>
      <c r="E12" s="5">
        <v>17</v>
      </c>
      <c r="F12" s="5" t="s">
        <v>23</v>
      </c>
      <c r="G12" s="5">
        <v>10</v>
      </c>
      <c r="H12" s="6">
        <v>34.453479766845703</v>
      </c>
      <c r="I12" s="6">
        <f t="shared" si="0"/>
        <v>344.53</v>
      </c>
      <c r="J12" s="7">
        <v>7.0000000000000007E-2</v>
      </c>
      <c r="K12" s="6">
        <f t="shared" si="1"/>
        <v>24.117100000000001</v>
      </c>
    </row>
    <row r="13" spans="1:12" x14ac:dyDescent="0.2">
      <c r="A13" s="5">
        <v>3</v>
      </c>
      <c r="B13" s="22">
        <v>44636</v>
      </c>
      <c r="C13" s="5" t="s">
        <v>24</v>
      </c>
      <c r="D13" s="5" t="s">
        <v>15</v>
      </c>
      <c r="E13" s="5">
        <v>6</v>
      </c>
      <c r="F13" s="5" t="s">
        <v>16</v>
      </c>
      <c r="G13" s="5">
        <v>20</v>
      </c>
      <c r="H13" s="6">
        <v>15.092453002929688</v>
      </c>
      <c r="I13" s="6">
        <f t="shared" si="0"/>
        <v>301.85000000000002</v>
      </c>
      <c r="J13" s="7">
        <v>0.2</v>
      </c>
      <c r="K13" s="6">
        <f t="shared" si="1"/>
        <v>60.370000000000005</v>
      </c>
    </row>
    <row r="14" spans="1:12" x14ac:dyDescent="0.2">
      <c r="A14" s="5">
        <v>3</v>
      </c>
      <c r="B14" s="22">
        <v>44636</v>
      </c>
      <c r="C14" s="5" t="s">
        <v>24</v>
      </c>
      <c r="D14" s="5" t="s">
        <v>15</v>
      </c>
      <c r="E14" s="5">
        <v>7</v>
      </c>
      <c r="F14" s="5" t="s">
        <v>25</v>
      </c>
      <c r="G14" s="5">
        <v>20</v>
      </c>
      <c r="H14" s="6">
        <v>23.172250747680664</v>
      </c>
      <c r="I14" s="6">
        <f t="shared" si="0"/>
        <v>463.45</v>
      </c>
      <c r="J14" s="7">
        <v>0.2</v>
      </c>
      <c r="K14" s="6">
        <f t="shared" si="1"/>
        <v>92.69</v>
      </c>
    </row>
    <row r="15" spans="1:12" x14ac:dyDescent="0.2">
      <c r="A15" s="5">
        <v>3</v>
      </c>
      <c r="B15" s="22">
        <v>44636</v>
      </c>
      <c r="C15" s="5" t="s">
        <v>24</v>
      </c>
      <c r="D15" s="5" t="s">
        <v>15</v>
      </c>
      <c r="E15" s="5">
        <v>13</v>
      </c>
      <c r="F15" s="5" t="s">
        <v>26</v>
      </c>
      <c r="G15" s="5">
        <v>8</v>
      </c>
      <c r="H15" s="6">
        <v>24.23939323425293</v>
      </c>
      <c r="I15" s="6">
        <f t="shared" si="0"/>
        <v>193.92</v>
      </c>
      <c r="J15" s="7">
        <v>0.2</v>
      </c>
      <c r="K15" s="6">
        <f t="shared" si="1"/>
        <v>38.783999999999999</v>
      </c>
    </row>
    <row r="16" spans="1:12" x14ac:dyDescent="0.2">
      <c r="A16" s="5">
        <v>4</v>
      </c>
      <c r="B16" s="22">
        <v>44639</v>
      </c>
      <c r="C16" s="5" t="s">
        <v>27</v>
      </c>
      <c r="D16" s="5" t="s">
        <v>12</v>
      </c>
      <c r="E16" s="5">
        <v>1</v>
      </c>
      <c r="F16" s="5" t="s">
        <v>13</v>
      </c>
      <c r="G16" s="5">
        <v>7</v>
      </c>
      <c r="H16" s="6">
        <v>4.5734705924987793</v>
      </c>
      <c r="I16" s="6">
        <f t="shared" si="0"/>
        <v>32.01</v>
      </c>
      <c r="J16" s="7">
        <v>0.2</v>
      </c>
      <c r="K16" s="6">
        <f t="shared" si="1"/>
        <v>6.4020000000000001</v>
      </c>
    </row>
    <row r="17" spans="1:11" x14ac:dyDescent="0.2">
      <c r="A17" s="5">
        <v>4</v>
      </c>
      <c r="B17" s="22">
        <v>44639</v>
      </c>
      <c r="C17" s="5" t="s">
        <v>27</v>
      </c>
      <c r="D17" s="5" t="s">
        <v>12</v>
      </c>
      <c r="E17" s="5">
        <v>4</v>
      </c>
      <c r="F17" s="5" t="s">
        <v>14</v>
      </c>
      <c r="G17" s="5">
        <v>10</v>
      </c>
      <c r="H17" s="6">
        <v>1.1433676481246948</v>
      </c>
      <c r="I17" s="6">
        <f t="shared" si="0"/>
        <v>11.43</v>
      </c>
      <c r="J17" s="7">
        <v>0.2</v>
      </c>
      <c r="K17" s="6">
        <f t="shared" si="1"/>
        <v>2.286</v>
      </c>
    </row>
    <row r="18" spans="1:11" x14ac:dyDescent="0.2">
      <c r="A18" s="5">
        <v>4</v>
      </c>
      <c r="B18" s="22">
        <v>44639</v>
      </c>
      <c r="C18" s="5" t="s">
        <v>27</v>
      </c>
      <c r="D18" s="5" t="s">
        <v>28</v>
      </c>
      <c r="E18" s="5">
        <v>10</v>
      </c>
      <c r="F18" s="5" t="s">
        <v>29</v>
      </c>
      <c r="G18" s="5">
        <v>5</v>
      </c>
      <c r="H18" s="6">
        <v>6.8602056503295898</v>
      </c>
      <c r="I18" s="6">
        <f t="shared" si="0"/>
        <v>34.299999999999997</v>
      </c>
      <c r="J18" s="7">
        <v>0.2</v>
      </c>
      <c r="K18" s="6">
        <f t="shared" si="1"/>
        <v>6.8599999999999994</v>
      </c>
    </row>
    <row r="19" spans="1:11" x14ac:dyDescent="0.2">
      <c r="A19" s="5">
        <v>4</v>
      </c>
      <c r="B19" s="22">
        <v>44639</v>
      </c>
      <c r="C19" s="5" t="s">
        <v>27</v>
      </c>
      <c r="D19" s="5" t="s">
        <v>18</v>
      </c>
      <c r="E19" s="5">
        <v>15</v>
      </c>
      <c r="F19" s="5" t="s">
        <v>30</v>
      </c>
      <c r="G19" s="5">
        <v>2</v>
      </c>
      <c r="H19" s="6">
        <v>38.112255096435547</v>
      </c>
      <c r="I19" s="6">
        <f t="shared" si="0"/>
        <v>76.22</v>
      </c>
      <c r="J19" s="7">
        <v>7.0000000000000007E-2</v>
      </c>
      <c r="K19" s="6">
        <f t="shared" si="1"/>
        <v>5.3354000000000008</v>
      </c>
    </row>
    <row r="20" spans="1:11" x14ac:dyDescent="0.2">
      <c r="A20" s="5">
        <v>5</v>
      </c>
      <c r="B20" s="22">
        <v>44642</v>
      </c>
      <c r="C20" s="5" t="s">
        <v>38</v>
      </c>
      <c r="D20" s="5" t="s">
        <v>12</v>
      </c>
      <c r="E20" s="5">
        <v>1</v>
      </c>
      <c r="F20" s="5" t="s">
        <v>13</v>
      </c>
      <c r="G20" s="5">
        <v>100</v>
      </c>
      <c r="H20" s="6">
        <v>4.5734705924987793</v>
      </c>
      <c r="I20" s="6">
        <f t="shared" si="0"/>
        <v>457.35</v>
      </c>
      <c r="J20" s="7">
        <v>0.2</v>
      </c>
      <c r="K20" s="6">
        <f t="shared" si="1"/>
        <v>91.470000000000013</v>
      </c>
    </row>
    <row r="21" spans="1:11" x14ac:dyDescent="0.2">
      <c r="A21" s="5">
        <v>5</v>
      </c>
      <c r="B21" s="22">
        <v>44642</v>
      </c>
      <c r="C21" s="5" t="s">
        <v>38</v>
      </c>
      <c r="D21" s="5" t="s">
        <v>12</v>
      </c>
      <c r="E21" s="5">
        <v>2</v>
      </c>
      <c r="F21" s="5" t="s">
        <v>31</v>
      </c>
      <c r="G21" s="5">
        <v>100</v>
      </c>
      <c r="H21" s="6">
        <v>2.0580618381500244</v>
      </c>
      <c r="I21" s="6">
        <f t="shared" si="0"/>
        <v>205.81</v>
      </c>
      <c r="J21" s="7">
        <v>0.2</v>
      </c>
      <c r="K21" s="6">
        <f t="shared" si="1"/>
        <v>41.162000000000006</v>
      </c>
    </row>
    <row r="22" spans="1:11" x14ac:dyDescent="0.2">
      <c r="A22" s="5">
        <v>5</v>
      </c>
      <c r="B22" s="22">
        <v>44642</v>
      </c>
      <c r="C22" s="5" t="s">
        <v>38</v>
      </c>
      <c r="D22" s="5" t="s">
        <v>12</v>
      </c>
      <c r="E22" s="5">
        <v>3</v>
      </c>
      <c r="F22" s="5" t="s">
        <v>32</v>
      </c>
      <c r="G22" s="5">
        <v>50</v>
      </c>
      <c r="H22" s="6">
        <v>1.1433676481246948</v>
      </c>
      <c r="I22" s="6">
        <f t="shared" si="0"/>
        <v>57.17</v>
      </c>
      <c r="J22" s="7">
        <v>0.2</v>
      </c>
      <c r="K22" s="6">
        <f t="shared" si="1"/>
        <v>11.434000000000001</v>
      </c>
    </row>
    <row r="23" spans="1:11" x14ac:dyDescent="0.2">
      <c r="A23" s="5">
        <v>5</v>
      </c>
      <c r="B23" s="22">
        <v>44642</v>
      </c>
      <c r="C23" s="5" t="s">
        <v>38</v>
      </c>
      <c r="D23" s="5" t="s">
        <v>12</v>
      </c>
      <c r="E23" s="5">
        <v>4</v>
      </c>
      <c r="F23" s="5" t="s">
        <v>14</v>
      </c>
      <c r="G23" s="5">
        <v>50</v>
      </c>
      <c r="H23" s="6">
        <v>1.1433676481246948</v>
      </c>
      <c r="I23" s="6">
        <f t="shared" si="0"/>
        <v>57.17</v>
      </c>
      <c r="J23" s="7">
        <v>0.2</v>
      </c>
      <c r="K23" s="6">
        <f t="shared" si="1"/>
        <v>11.434000000000001</v>
      </c>
    </row>
    <row r="24" spans="1:11" x14ac:dyDescent="0.2">
      <c r="A24" s="5">
        <v>6</v>
      </c>
      <c r="B24" s="22">
        <v>44643</v>
      </c>
      <c r="C24" s="5" t="s">
        <v>33</v>
      </c>
      <c r="D24" s="5" t="s">
        <v>12</v>
      </c>
      <c r="E24" s="5">
        <v>3</v>
      </c>
      <c r="F24" s="5" t="s">
        <v>32</v>
      </c>
      <c r="G24" s="5">
        <v>10</v>
      </c>
      <c r="H24" s="6">
        <v>1.1433676481246948</v>
      </c>
      <c r="I24" s="6">
        <f t="shared" si="0"/>
        <v>11.43</v>
      </c>
      <c r="J24" s="7">
        <v>0.2</v>
      </c>
      <c r="K24" s="6">
        <f t="shared" si="1"/>
        <v>2.286</v>
      </c>
    </row>
    <row r="25" spans="1:11" x14ac:dyDescent="0.2">
      <c r="A25" s="5">
        <v>6</v>
      </c>
      <c r="B25" s="22">
        <v>44643</v>
      </c>
      <c r="C25" s="5" t="s">
        <v>33</v>
      </c>
      <c r="D25" s="5" t="s">
        <v>12</v>
      </c>
      <c r="E25" s="5">
        <v>4</v>
      </c>
      <c r="F25" s="5" t="s">
        <v>14</v>
      </c>
      <c r="G25" s="5">
        <v>20</v>
      </c>
      <c r="H25" s="6">
        <v>1.1433676481246948</v>
      </c>
      <c r="I25" s="6">
        <f t="shared" si="0"/>
        <v>22.87</v>
      </c>
      <c r="J25" s="7">
        <v>0.2</v>
      </c>
      <c r="K25" s="6">
        <f t="shared" si="1"/>
        <v>4.5740000000000007</v>
      </c>
    </row>
    <row r="26" spans="1:11" x14ac:dyDescent="0.2">
      <c r="A26" s="5">
        <v>6</v>
      </c>
      <c r="B26" s="22">
        <v>44643</v>
      </c>
      <c r="C26" s="5" t="s">
        <v>33</v>
      </c>
      <c r="D26" s="5" t="s">
        <v>15</v>
      </c>
      <c r="E26" s="5">
        <v>12</v>
      </c>
      <c r="F26" s="5" t="s">
        <v>17</v>
      </c>
      <c r="G26" s="5">
        <v>4</v>
      </c>
      <c r="H26" s="6">
        <v>53.662055969238281</v>
      </c>
      <c r="I26" s="6">
        <f t="shared" si="0"/>
        <v>214.65</v>
      </c>
      <c r="J26" s="7">
        <v>0.2</v>
      </c>
      <c r="K26" s="6">
        <f t="shared" si="1"/>
        <v>42.930000000000007</v>
      </c>
    </row>
    <row r="27" spans="1:11" x14ac:dyDescent="0.2">
      <c r="A27" s="5">
        <v>6</v>
      </c>
      <c r="B27" s="22">
        <v>44643</v>
      </c>
      <c r="C27" s="5" t="s">
        <v>33</v>
      </c>
      <c r="D27" s="5" t="s">
        <v>15</v>
      </c>
      <c r="E27" s="5">
        <v>13</v>
      </c>
      <c r="F27" s="5" t="s">
        <v>26</v>
      </c>
      <c r="G27" s="5">
        <v>5</v>
      </c>
      <c r="H27" s="6">
        <v>24.23939323425293</v>
      </c>
      <c r="I27" s="6">
        <f t="shared" si="0"/>
        <v>121.2</v>
      </c>
      <c r="J27" s="7">
        <v>0.2</v>
      </c>
      <c r="K27" s="6">
        <f t="shared" si="1"/>
        <v>24.240000000000002</v>
      </c>
    </row>
    <row r="28" spans="1:11" x14ac:dyDescent="0.2">
      <c r="A28" s="5">
        <v>7</v>
      </c>
      <c r="B28" s="22">
        <v>44644</v>
      </c>
      <c r="C28" s="5" t="s">
        <v>39</v>
      </c>
      <c r="D28" s="5" t="s">
        <v>15</v>
      </c>
      <c r="E28" s="5">
        <v>7</v>
      </c>
      <c r="F28" s="5" t="s">
        <v>25</v>
      </c>
      <c r="G28" s="5">
        <v>10</v>
      </c>
      <c r="H28" s="6">
        <v>23.172250747680664</v>
      </c>
      <c r="I28" s="6">
        <f t="shared" si="0"/>
        <v>231.72</v>
      </c>
      <c r="J28" s="7">
        <v>0.2</v>
      </c>
      <c r="K28" s="6">
        <f t="shared" si="1"/>
        <v>46.344000000000001</v>
      </c>
    </row>
    <row r="29" spans="1:11" x14ac:dyDescent="0.2">
      <c r="A29" s="5">
        <v>7</v>
      </c>
      <c r="B29" s="22">
        <v>44644</v>
      </c>
      <c r="C29" s="5" t="s">
        <v>39</v>
      </c>
      <c r="D29" s="5" t="s">
        <v>15</v>
      </c>
      <c r="E29" s="5">
        <v>8</v>
      </c>
      <c r="F29" s="5" t="s">
        <v>34</v>
      </c>
      <c r="G29" s="5">
        <v>2</v>
      </c>
      <c r="H29" s="6">
        <v>34.301029205322266</v>
      </c>
      <c r="I29" s="6">
        <f t="shared" si="0"/>
        <v>68.599999999999994</v>
      </c>
      <c r="J29" s="7">
        <v>0.2</v>
      </c>
      <c r="K29" s="6">
        <f t="shared" si="1"/>
        <v>13.719999999999999</v>
      </c>
    </row>
    <row r="30" spans="1:11" x14ac:dyDescent="0.2">
      <c r="A30" s="5">
        <v>7</v>
      </c>
      <c r="B30" s="22">
        <v>44644</v>
      </c>
      <c r="C30" s="5" t="s">
        <v>39</v>
      </c>
      <c r="D30" s="5" t="s">
        <v>18</v>
      </c>
      <c r="E30" s="5">
        <v>16</v>
      </c>
      <c r="F30" s="5" t="s">
        <v>35</v>
      </c>
      <c r="G30" s="5">
        <v>5</v>
      </c>
      <c r="H30" s="6">
        <v>11.433676719665527</v>
      </c>
      <c r="I30" s="6">
        <f t="shared" si="0"/>
        <v>57.17</v>
      </c>
      <c r="J30" s="7">
        <v>7.0000000000000007E-2</v>
      </c>
      <c r="K30" s="6">
        <f t="shared" si="1"/>
        <v>4.0019000000000009</v>
      </c>
    </row>
    <row r="31" spans="1:11" x14ac:dyDescent="0.2">
      <c r="A31" s="5">
        <v>8</v>
      </c>
      <c r="B31" s="22">
        <v>44644</v>
      </c>
      <c r="C31" s="5" t="s">
        <v>40</v>
      </c>
      <c r="D31" s="5" t="s">
        <v>12</v>
      </c>
      <c r="E31" s="5">
        <v>3</v>
      </c>
      <c r="F31" s="5" t="s">
        <v>32</v>
      </c>
      <c r="G31" s="5">
        <v>100</v>
      </c>
      <c r="H31" s="6">
        <v>1.1433676481246948</v>
      </c>
      <c r="I31" s="6">
        <f t="shared" si="0"/>
        <v>114.34</v>
      </c>
      <c r="J31" s="7">
        <v>0.2</v>
      </c>
      <c r="K31" s="6">
        <f t="shared" si="1"/>
        <v>22.868000000000002</v>
      </c>
    </row>
    <row r="32" spans="1:11" x14ac:dyDescent="0.2">
      <c r="A32" s="5">
        <v>8</v>
      </c>
      <c r="B32" s="22">
        <v>44644</v>
      </c>
      <c r="C32" s="5" t="s">
        <v>40</v>
      </c>
      <c r="D32" s="5" t="s">
        <v>12</v>
      </c>
      <c r="E32" s="5">
        <v>4</v>
      </c>
      <c r="F32" s="5" t="s">
        <v>14</v>
      </c>
      <c r="G32" s="5">
        <v>100</v>
      </c>
      <c r="H32" s="6">
        <v>1.1433676481246948</v>
      </c>
      <c r="I32" s="6">
        <f t="shared" si="0"/>
        <v>114.34</v>
      </c>
      <c r="J32" s="7">
        <v>0.2</v>
      </c>
      <c r="K32" s="6">
        <f t="shared" si="1"/>
        <v>22.868000000000002</v>
      </c>
    </row>
    <row r="33" spans="1:13" x14ac:dyDescent="0.2">
      <c r="A33" s="5">
        <v>8</v>
      </c>
      <c r="B33" s="22">
        <v>44644</v>
      </c>
      <c r="C33" s="5" t="s">
        <v>40</v>
      </c>
      <c r="D33" s="5" t="s">
        <v>15</v>
      </c>
      <c r="E33" s="5">
        <v>6</v>
      </c>
      <c r="F33" s="5" t="s">
        <v>16</v>
      </c>
      <c r="G33" s="5">
        <v>20</v>
      </c>
      <c r="H33" s="6">
        <v>15.092453002929688</v>
      </c>
      <c r="I33" s="6">
        <f t="shared" si="0"/>
        <v>301.85000000000002</v>
      </c>
      <c r="J33" s="7">
        <v>0.2</v>
      </c>
      <c r="K33" s="6">
        <f t="shared" si="1"/>
        <v>60.370000000000005</v>
      </c>
    </row>
    <row r="34" spans="1:13" x14ac:dyDescent="0.2">
      <c r="A34" s="5">
        <v>9</v>
      </c>
      <c r="B34" s="22">
        <v>44646</v>
      </c>
      <c r="C34" s="5" t="s">
        <v>36</v>
      </c>
      <c r="D34" s="5" t="s">
        <v>12</v>
      </c>
      <c r="E34" s="5">
        <v>3</v>
      </c>
      <c r="F34" s="5" t="s">
        <v>32</v>
      </c>
      <c r="G34" s="5">
        <v>10</v>
      </c>
      <c r="H34" s="6">
        <v>1.1433676481246948</v>
      </c>
      <c r="I34" s="6">
        <f t="shared" si="0"/>
        <v>11.43</v>
      </c>
      <c r="J34" s="7">
        <v>0.2</v>
      </c>
      <c r="K34" s="6">
        <f t="shared" si="1"/>
        <v>2.286</v>
      </c>
    </row>
    <row r="35" spans="1:13" x14ac:dyDescent="0.2">
      <c r="A35" s="5">
        <v>9</v>
      </c>
      <c r="B35" s="22">
        <v>44646</v>
      </c>
      <c r="C35" s="5" t="s">
        <v>36</v>
      </c>
      <c r="D35" s="5" t="s">
        <v>12</v>
      </c>
      <c r="E35" s="5">
        <v>4</v>
      </c>
      <c r="F35" s="5" t="s">
        <v>14</v>
      </c>
      <c r="G35" s="5">
        <v>10</v>
      </c>
      <c r="H35" s="6">
        <v>1.1433676481246948</v>
      </c>
      <c r="I35" s="6">
        <f t="shared" si="0"/>
        <v>11.43</v>
      </c>
      <c r="J35" s="7">
        <v>0.2</v>
      </c>
      <c r="K35" s="6">
        <f t="shared" si="1"/>
        <v>2.286</v>
      </c>
    </row>
    <row r="36" spans="1:13" x14ac:dyDescent="0.2">
      <c r="A36" s="5">
        <v>9</v>
      </c>
      <c r="B36" s="22">
        <v>44646</v>
      </c>
      <c r="C36" s="5" t="s">
        <v>36</v>
      </c>
      <c r="D36" s="5" t="s">
        <v>15</v>
      </c>
      <c r="E36" s="5">
        <v>5</v>
      </c>
      <c r="F36" s="5" t="s">
        <v>37</v>
      </c>
      <c r="G36" s="5">
        <v>2</v>
      </c>
      <c r="H36" s="6">
        <v>5.3357157707214355</v>
      </c>
      <c r="I36" s="6">
        <f t="shared" si="0"/>
        <v>10.67</v>
      </c>
      <c r="J36" s="7">
        <v>0.2</v>
      </c>
      <c r="K36" s="6">
        <f t="shared" si="1"/>
        <v>2.1339999999999999</v>
      </c>
    </row>
    <row r="37" spans="1:13" x14ac:dyDescent="0.2">
      <c r="A37" s="5">
        <v>9</v>
      </c>
      <c r="B37" s="22">
        <v>44646</v>
      </c>
      <c r="C37" s="5" t="s">
        <v>36</v>
      </c>
      <c r="D37" s="5" t="s">
        <v>15</v>
      </c>
      <c r="E37" s="5">
        <v>6</v>
      </c>
      <c r="F37" s="5" t="s">
        <v>16</v>
      </c>
      <c r="G37" s="5">
        <v>2</v>
      </c>
      <c r="H37" s="6">
        <v>15.092453002929688</v>
      </c>
      <c r="I37" s="6">
        <f t="shared" si="0"/>
        <v>30.18</v>
      </c>
      <c r="J37" s="7">
        <v>0.2</v>
      </c>
      <c r="K37" s="6">
        <f t="shared" si="1"/>
        <v>6.0360000000000005</v>
      </c>
    </row>
    <row r="38" spans="1:13" x14ac:dyDescent="0.2">
      <c r="A38" s="5">
        <v>9</v>
      </c>
      <c r="B38" s="22">
        <v>44646</v>
      </c>
      <c r="C38" s="5" t="s">
        <v>36</v>
      </c>
      <c r="D38" s="5" t="s">
        <v>15</v>
      </c>
      <c r="E38" s="5">
        <v>8</v>
      </c>
      <c r="F38" s="5" t="s">
        <v>34</v>
      </c>
      <c r="G38" s="5">
        <v>1</v>
      </c>
      <c r="H38" s="6">
        <v>34.301029205322266</v>
      </c>
      <c r="I38" s="6">
        <f t="shared" si="0"/>
        <v>34.299999999999997</v>
      </c>
      <c r="J38" s="7">
        <v>0.2</v>
      </c>
      <c r="K38" s="6">
        <f t="shared" si="1"/>
        <v>6.8599999999999994</v>
      </c>
    </row>
    <row r="39" spans="1:13" x14ac:dyDescent="0.2">
      <c r="A39" s="5">
        <v>9</v>
      </c>
      <c r="B39" s="22">
        <v>44646</v>
      </c>
      <c r="C39" s="5" t="s">
        <v>36</v>
      </c>
      <c r="D39" s="5" t="s">
        <v>28</v>
      </c>
      <c r="E39" s="5">
        <v>10</v>
      </c>
      <c r="F39" s="5" t="s">
        <v>29</v>
      </c>
      <c r="G39" s="5">
        <v>10</v>
      </c>
      <c r="H39" s="6">
        <v>6.8602056503295898</v>
      </c>
      <c r="I39" s="6">
        <f t="shared" si="0"/>
        <v>68.599999999999994</v>
      </c>
      <c r="J39" s="7">
        <v>0.2</v>
      </c>
      <c r="K39" s="6">
        <f t="shared" si="1"/>
        <v>13.719999999999999</v>
      </c>
    </row>
    <row r="40" spans="1:13" x14ac:dyDescent="0.2">
      <c r="A40" s="5">
        <v>9</v>
      </c>
      <c r="B40" s="22">
        <v>44646</v>
      </c>
      <c r="C40" s="5" t="s">
        <v>36</v>
      </c>
      <c r="D40" s="5" t="s">
        <v>15</v>
      </c>
      <c r="E40" s="5">
        <v>13</v>
      </c>
      <c r="F40" s="5" t="s">
        <v>26</v>
      </c>
      <c r="G40" s="5">
        <v>1</v>
      </c>
      <c r="H40" s="6">
        <v>24.23939323425293</v>
      </c>
      <c r="I40" s="6">
        <f t="shared" si="0"/>
        <v>24.24</v>
      </c>
      <c r="J40" s="7">
        <v>0.2</v>
      </c>
      <c r="K40" s="6">
        <f t="shared" si="1"/>
        <v>4.8479999999999999</v>
      </c>
    </row>
    <row r="41" spans="1:13" x14ac:dyDescent="0.2">
      <c r="A41" s="5">
        <v>9</v>
      </c>
      <c r="B41" s="22">
        <v>44646</v>
      </c>
      <c r="C41" s="5" t="s">
        <v>36</v>
      </c>
      <c r="D41" s="5" t="s">
        <v>15</v>
      </c>
      <c r="E41" s="5">
        <v>18</v>
      </c>
      <c r="F41" s="5" t="s">
        <v>20</v>
      </c>
      <c r="G41" s="5">
        <v>2</v>
      </c>
      <c r="H41" s="6">
        <v>71.193687438964844</v>
      </c>
      <c r="I41" s="6">
        <f t="shared" si="0"/>
        <v>142.38999999999999</v>
      </c>
      <c r="J41" s="7">
        <v>0.2</v>
      </c>
      <c r="K41" s="6">
        <f t="shared" si="1"/>
        <v>28.477999999999998</v>
      </c>
    </row>
    <row r="42" spans="1:13" x14ac:dyDescent="0.2">
      <c r="A42" s="5">
        <v>9</v>
      </c>
      <c r="B42" s="22">
        <v>44646</v>
      </c>
      <c r="C42" s="5" t="s">
        <v>36</v>
      </c>
      <c r="D42" s="5" t="s">
        <v>15</v>
      </c>
      <c r="E42" s="5">
        <v>19</v>
      </c>
      <c r="F42" s="5" t="s">
        <v>21</v>
      </c>
      <c r="G42" s="5">
        <v>2</v>
      </c>
      <c r="H42" s="6">
        <v>68.602058410644531</v>
      </c>
      <c r="I42" s="6">
        <f t="shared" si="0"/>
        <v>137.19999999999999</v>
      </c>
      <c r="J42" s="7">
        <v>0.2</v>
      </c>
      <c r="K42" s="6">
        <f t="shared" si="1"/>
        <v>27.439999999999998</v>
      </c>
      <c r="M42" s="3"/>
    </row>
    <row r="43" spans="1:13" x14ac:dyDescent="0.2">
      <c r="I43" s="9"/>
      <c r="L43" s="3"/>
    </row>
  </sheetData>
  <phoneticPr fontId="0" type="noConversion"/>
  <pageMargins left="0.78740157499999996" right="0.78740157499999996" top="0.984251969" bottom="0.984251969" header="0.5" footer="0.5"/>
  <pageSetup paperSize="9" orientation="portrait" horizontalDpi="4294967293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F14"/>
  <sheetViews>
    <sheetView workbookViewId="0">
      <selection activeCell="D29" sqref="D29"/>
    </sheetView>
  </sheetViews>
  <sheetFormatPr baseColWidth="10" defaultRowHeight="12.75" x14ac:dyDescent="0.2"/>
  <cols>
    <col min="1" max="1" width="23.140625" bestFit="1" customWidth="1"/>
    <col min="2" max="2" width="26.28515625" bestFit="1" customWidth="1"/>
    <col min="3" max="3" width="10.85546875" bestFit="1" customWidth="1"/>
    <col min="4" max="5" width="9.140625" bestFit="1" customWidth="1"/>
    <col min="6" max="6" width="14.42578125" bestFit="1" customWidth="1"/>
  </cols>
  <sheetData>
    <row r="3" spans="1:6" x14ac:dyDescent="0.2">
      <c r="A3" s="18" t="s">
        <v>44</v>
      </c>
      <c r="B3" s="18" t="s">
        <v>41</v>
      </c>
      <c r="C3" s="19"/>
      <c r="D3" s="19"/>
      <c r="E3" s="19"/>
      <c r="F3" s="19"/>
    </row>
    <row r="4" spans="1:6" x14ac:dyDescent="0.2">
      <c r="A4" s="12" t="s">
        <v>43</v>
      </c>
      <c r="B4" s="21" t="s">
        <v>12</v>
      </c>
      <c r="C4" s="21" t="s">
        <v>15</v>
      </c>
      <c r="D4" s="21" t="s">
        <v>18</v>
      </c>
      <c r="E4" s="21" t="s">
        <v>28</v>
      </c>
      <c r="F4" s="16" t="s">
        <v>42</v>
      </c>
    </row>
    <row r="5" spans="1:6" x14ac:dyDescent="0.2">
      <c r="A5" s="14" t="s">
        <v>39</v>
      </c>
      <c r="B5" s="17"/>
      <c r="C5" s="17">
        <v>300.32</v>
      </c>
      <c r="D5" s="17">
        <v>57.17</v>
      </c>
      <c r="E5" s="17"/>
      <c r="F5" s="17">
        <v>357.49</v>
      </c>
    </row>
    <row r="6" spans="1:6" x14ac:dyDescent="0.2">
      <c r="A6" s="14" t="s">
        <v>33</v>
      </c>
      <c r="B6" s="17">
        <v>34.299999999999997</v>
      </c>
      <c r="C6" s="17">
        <v>335.85</v>
      </c>
      <c r="D6" s="17"/>
      <c r="E6" s="17"/>
      <c r="F6" s="17">
        <v>370.15000000000003</v>
      </c>
    </row>
    <row r="7" spans="1:6" x14ac:dyDescent="0.2">
      <c r="A7" s="14" t="s">
        <v>38</v>
      </c>
      <c r="B7" s="17">
        <v>777.5</v>
      </c>
      <c r="C7" s="17"/>
      <c r="D7" s="17"/>
      <c r="E7" s="17"/>
      <c r="F7" s="17">
        <v>777.5</v>
      </c>
    </row>
    <row r="8" spans="1:6" x14ac:dyDescent="0.2">
      <c r="A8" s="14" t="s">
        <v>24</v>
      </c>
      <c r="B8" s="17"/>
      <c r="C8" s="17">
        <v>959.21999999999991</v>
      </c>
      <c r="D8" s="17"/>
      <c r="E8" s="17"/>
      <c r="F8" s="17">
        <v>959.21999999999991</v>
      </c>
    </row>
    <row r="9" spans="1:6" x14ac:dyDescent="0.2">
      <c r="A9" s="14" t="s">
        <v>11</v>
      </c>
      <c r="B9" s="17">
        <v>49.16</v>
      </c>
      <c r="C9" s="17">
        <v>573.66000000000008</v>
      </c>
      <c r="D9" s="17">
        <v>19.059999999999999</v>
      </c>
      <c r="E9" s="17"/>
      <c r="F9" s="17">
        <v>641.88</v>
      </c>
    </row>
    <row r="10" spans="1:6" x14ac:dyDescent="0.2">
      <c r="A10" s="14" t="s">
        <v>40</v>
      </c>
      <c r="B10" s="17">
        <v>228.68</v>
      </c>
      <c r="C10" s="17">
        <v>301.85000000000002</v>
      </c>
      <c r="D10" s="17"/>
      <c r="E10" s="17"/>
      <c r="F10" s="17">
        <v>530.53</v>
      </c>
    </row>
    <row r="11" spans="1:6" x14ac:dyDescent="0.2">
      <c r="A11" s="14" t="s">
        <v>27</v>
      </c>
      <c r="B11" s="17">
        <v>43.44</v>
      </c>
      <c r="C11" s="17"/>
      <c r="D11" s="17">
        <v>76.22</v>
      </c>
      <c r="E11" s="17">
        <v>34.299999999999997</v>
      </c>
      <c r="F11" s="17">
        <v>153.95999999999998</v>
      </c>
    </row>
    <row r="12" spans="1:6" x14ac:dyDescent="0.2">
      <c r="A12" s="14" t="s">
        <v>22</v>
      </c>
      <c r="B12" s="17">
        <v>137.19999999999999</v>
      </c>
      <c r="C12" s="17">
        <v>90.55</v>
      </c>
      <c r="D12" s="17">
        <v>439.80999999999995</v>
      </c>
      <c r="E12" s="17"/>
      <c r="F12" s="17">
        <v>667.56</v>
      </c>
    </row>
    <row r="13" spans="1:6" x14ac:dyDescent="0.2">
      <c r="A13" s="14" t="s">
        <v>36</v>
      </c>
      <c r="B13" s="17">
        <v>22.86</v>
      </c>
      <c r="C13" s="17">
        <v>378.97999999999996</v>
      </c>
      <c r="D13" s="17"/>
      <c r="E13" s="17">
        <v>68.599999999999994</v>
      </c>
      <c r="F13" s="17">
        <v>470.43999999999994</v>
      </c>
    </row>
    <row r="14" spans="1:6" x14ac:dyDescent="0.2">
      <c r="A14" s="14" t="s">
        <v>42</v>
      </c>
      <c r="B14" s="17">
        <v>1293.1399999999999</v>
      </c>
      <c r="C14" s="17">
        <v>2940.4300000000003</v>
      </c>
      <c r="D14" s="17">
        <v>592.26</v>
      </c>
      <c r="E14" s="17">
        <v>102.89999999999999</v>
      </c>
      <c r="F14" s="17">
        <v>4928.7300000000005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3:D6"/>
  <sheetViews>
    <sheetView workbookViewId="0">
      <selection activeCell="D8" sqref="D8"/>
    </sheetView>
  </sheetViews>
  <sheetFormatPr baseColWidth="10" defaultRowHeight="12.75" x14ac:dyDescent="0.2"/>
  <cols>
    <col min="1" max="1" width="23.28515625" customWidth="1"/>
    <col min="2" max="4" width="14.7109375" customWidth="1"/>
    <col min="5" max="5" width="7" customWidth="1"/>
    <col min="6" max="6" width="14.5703125" bestFit="1" customWidth="1"/>
  </cols>
  <sheetData>
    <row r="3" spans="1:4" x14ac:dyDescent="0.2">
      <c r="A3" s="11" t="s">
        <v>44</v>
      </c>
      <c r="B3" s="11" t="s">
        <v>41</v>
      </c>
    </row>
    <row r="4" spans="1:4" x14ac:dyDescent="0.2">
      <c r="A4" s="12" t="s">
        <v>43</v>
      </c>
      <c r="B4" s="13" t="s">
        <v>12</v>
      </c>
      <c r="C4" s="13" t="s">
        <v>15</v>
      </c>
      <c r="D4" s="13" t="s">
        <v>42</v>
      </c>
    </row>
    <row r="5" spans="1:4" x14ac:dyDescent="0.2">
      <c r="A5" s="14" t="s">
        <v>40</v>
      </c>
      <c r="B5" s="17">
        <v>228.68</v>
      </c>
      <c r="C5" s="17">
        <v>301.85000000000002</v>
      </c>
      <c r="D5" s="17">
        <v>530.53</v>
      </c>
    </row>
    <row r="6" spans="1:4" x14ac:dyDescent="0.2">
      <c r="A6" s="14" t="s">
        <v>42</v>
      </c>
      <c r="B6" s="17">
        <v>228.68</v>
      </c>
      <c r="C6" s="17">
        <v>301.85000000000002</v>
      </c>
      <c r="D6" s="17">
        <v>530.53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3:D13"/>
  <sheetViews>
    <sheetView workbookViewId="0">
      <selection activeCell="C15" sqref="C15"/>
    </sheetView>
  </sheetViews>
  <sheetFormatPr baseColWidth="10" defaultRowHeight="12.75" x14ac:dyDescent="0.2"/>
  <cols>
    <col min="1" max="1" width="23.28515625" customWidth="1"/>
    <col min="2" max="5" width="14.7109375" customWidth="1"/>
    <col min="6" max="6" width="14.5703125" bestFit="1" customWidth="1"/>
  </cols>
  <sheetData>
    <row r="3" spans="1:4" x14ac:dyDescent="0.2">
      <c r="A3" s="11" t="s">
        <v>44</v>
      </c>
      <c r="B3" s="11" t="s">
        <v>41</v>
      </c>
    </row>
    <row r="4" spans="1:4" x14ac:dyDescent="0.2">
      <c r="A4" s="12" t="s">
        <v>43</v>
      </c>
      <c r="B4" s="13" t="s">
        <v>15</v>
      </c>
      <c r="C4" s="13" t="s">
        <v>18</v>
      </c>
      <c r="D4" s="13" t="s">
        <v>42</v>
      </c>
    </row>
    <row r="5" spans="1:4" x14ac:dyDescent="0.2">
      <c r="A5" s="14" t="s">
        <v>39</v>
      </c>
      <c r="B5" s="17">
        <v>300.32</v>
      </c>
      <c r="C5" s="17">
        <v>57.17</v>
      </c>
      <c r="D5" s="17">
        <v>357.49</v>
      </c>
    </row>
    <row r="6" spans="1:4" x14ac:dyDescent="0.2">
      <c r="A6" s="14" t="s">
        <v>33</v>
      </c>
      <c r="B6" s="17">
        <v>335.85</v>
      </c>
      <c r="C6" s="17"/>
      <c r="D6" s="17">
        <v>335.85</v>
      </c>
    </row>
    <row r="7" spans="1:4" x14ac:dyDescent="0.2">
      <c r="A7" s="14" t="s">
        <v>24</v>
      </c>
      <c r="B7" s="17">
        <v>959.21999999999991</v>
      </c>
      <c r="C7" s="17"/>
      <c r="D7" s="17">
        <v>959.21999999999991</v>
      </c>
    </row>
    <row r="8" spans="1:4" x14ac:dyDescent="0.2">
      <c r="A8" s="14" t="s">
        <v>11</v>
      </c>
      <c r="B8" s="17">
        <v>573.66000000000008</v>
      </c>
      <c r="C8" s="17">
        <v>19.059999999999999</v>
      </c>
      <c r="D8" s="17">
        <v>592.72</v>
      </c>
    </row>
    <row r="9" spans="1:4" x14ac:dyDescent="0.2">
      <c r="A9" s="14" t="s">
        <v>40</v>
      </c>
      <c r="B9" s="17">
        <v>301.85000000000002</v>
      </c>
      <c r="C9" s="17"/>
      <c r="D9" s="17">
        <v>301.85000000000002</v>
      </c>
    </row>
    <row r="10" spans="1:4" x14ac:dyDescent="0.2">
      <c r="A10" s="14" t="s">
        <v>27</v>
      </c>
      <c r="B10" s="17"/>
      <c r="C10" s="17">
        <v>76.22</v>
      </c>
      <c r="D10" s="17">
        <v>76.22</v>
      </c>
    </row>
    <row r="11" spans="1:4" x14ac:dyDescent="0.2">
      <c r="A11" s="14" t="s">
        <v>22</v>
      </c>
      <c r="B11" s="17">
        <v>90.55</v>
      </c>
      <c r="C11" s="17">
        <v>439.80999999999995</v>
      </c>
      <c r="D11" s="17">
        <v>530.3599999999999</v>
      </c>
    </row>
    <row r="12" spans="1:4" x14ac:dyDescent="0.2">
      <c r="A12" s="14" t="s">
        <v>36</v>
      </c>
      <c r="B12" s="17">
        <v>378.98</v>
      </c>
      <c r="C12" s="17"/>
      <c r="D12" s="17">
        <v>378.98</v>
      </c>
    </row>
    <row r="13" spans="1:4" x14ac:dyDescent="0.2">
      <c r="A13" s="14" t="s">
        <v>42</v>
      </c>
      <c r="B13" s="17">
        <v>2940.4300000000003</v>
      </c>
      <c r="C13" s="17">
        <v>592.26</v>
      </c>
      <c r="D13" s="17">
        <v>3532.6899999999991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3:E13"/>
  <sheetViews>
    <sheetView workbookViewId="0">
      <selection activeCell="C16" sqref="C16"/>
    </sheetView>
  </sheetViews>
  <sheetFormatPr baseColWidth="10" defaultRowHeight="12.75" x14ac:dyDescent="0.2"/>
  <cols>
    <col min="1" max="1" width="23.28515625" customWidth="1"/>
    <col min="2" max="5" width="14.7109375" customWidth="1"/>
    <col min="6" max="6" width="14.5703125" bestFit="1" customWidth="1"/>
  </cols>
  <sheetData>
    <row r="3" spans="1:5" x14ac:dyDescent="0.2">
      <c r="A3" s="11" t="s">
        <v>44</v>
      </c>
      <c r="B3" s="11" t="s">
        <v>41</v>
      </c>
    </row>
    <row r="4" spans="1:5" x14ac:dyDescent="0.2">
      <c r="A4" s="12" t="s">
        <v>43</v>
      </c>
      <c r="B4" s="13" t="s">
        <v>15</v>
      </c>
      <c r="C4" s="13" t="s">
        <v>18</v>
      </c>
      <c r="D4" s="13" t="s">
        <v>28</v>
      </c>
      <c r="E4" s="13" t="s">
        <v>42</v>
      </c>
    </row>
    <row r="5" spans="1:5" x14ac:dyDescent="0.2">
      <c r="A5" s="14" t="s">
        <v>39</v>
      </c>
      <c r="B5" s="17">
        <v>300.32</v>
      </c>
      <c r="C5" s="17">
        <v>57.17</v>
      </c>
      <c r="D5" s="17"/>
      <c r="E5" s="17">
        <v>357.49</v>
      </c>
    </row>
    <row r="6" spans="1:5" x14ac:dyDescent="0.2">
      <c r="A6" s="14" t="s">
        <v>33</v>
      </c>
      <c r="B6" s="17">
        <v>335.85</v>
      </c>
      <c r="C6" s="17"/>
      <c r="D6" s="17"/>
      <c r="E6" s="17">
        <v>335.85</v>
      </c>
    </row>
    <row r="7" spans="1:5" x14ac:dyDescent="0.2">
      <c r="A7" s="14" t="s">
        <v>24</v>
      </c>
      <c r="B7" s="17">
        <v>959.21999999999991</v>
      </c>
      <c r="C7" s="17"/>
      <c r="D7" s="17"/>
      <c r="E7" s="17">
        <v>959.21999999999991</v>
      </c>
    </row>
    <row r="8" spans="1:5" x14ac:dyDescent="0.2">
      <c r="A8" s="14" t="s">
        <v>11</v>
      </c>
      <c r="B8" s="17">
        <v>573.66000000000008</v>
      </c>
      <c r="C8" s="17">
        <v>19.059999999999999</v>
      </c>
      <c r="D8" s="17"/>
      <c r="E8" s="17">
        <v>592.72</v>
      </c>
    </row>
    <row r="9" spans="1:5" x14ac:dyDescent="0.2">
      <c r="A9" s="14" t="s">
        <v>40</v>
      </c>
      <c r="B9" s="17">
        <v>301.85000000000002</v>
      </c>
      <c r="C9" s="17"/>
      <c r="D9" s="17"/>
      <c r="E9" s="17">
        <v>301.85000000000002</v>
      </c>
    </row>
    <row r="10" spans="1:5" x14ac:dyDescent="0.2">
      <c r="A10" s="14" t="s">
        <v>27</v>
      </c>
      <c r="B10" s="17"/>
      <c r="C10" s="17">
        <v>76.22</v>
      </c>
      <c r="D10" s="17">
        <v>34.299999999999997</v>
      </c>
      <c r="E10" s="17">
        <v>110.52</v>
      </c>
    </row>
    <row r="11" spans="1:5" x14ac:dyDescent="0.2">
      <c r="A11" s="14" t="s">
        <v>22</v>
      </c>
      <c r="B11" s="17">
        <v>90.55</v>
      </c>
      <c r="C11" s="17">
        <v>439.80999999999995</v>
      </c>
      <c r="D11" s="17"/>
      <c r="E11" s="17">
        <v>530.3599999999999</v>
      </c>
    </row>
    <row r="12" spans="1:5" x14ac:dyDescent="0.2">
      <c r="A12" s="14" t="s">
        <v>36</v>
      </c>
      <c r="B12" s="17">
        <v>378.98</v>
      </c>
      <c r="C12" s="17"/>
      <c r="D12" s="17">
        <v>68.599999999999994</v>
      </c>
      <c r="E12" s="17">
        <v>447.58000000000004</v>
      </c>
    </row>
    <row r="13" spans="1:5" x14ac:dyDescent="0.2">
      <c r="A13" s="14" t="s">
        <v>42</v>
      </c>
      <c r="B13" s="17">
        <v>2940.4300000000003</v>
      </c>
      <c r="C13" s="17">
        <v>592.26</v>
      </c>
      <c r="D13" s="17">
        <v>102.89999999999999</v>
      </c>
      <c r="E13" s="17">
        <v>3635.5899999999992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3:F14"/>
  <sheetViews>
    <sheetView workbookViewId="0">
      <selection activeCell="E32" sqref="E32"/>
    </sheetView>
  </sheetViews>
  <sheetFormatPr baseColWidth="10" defaultRowHeight="12.75" x14ac:dyDescent="0.2"/>
  <cols>
    <col min="1" max="1" width="23.28515625" customWidth="1"/>
    <col min="2" max="6" width="14.7109375" customWidth="1"/>
  </cols>
  <sheetData>
    <row r="3" spans="1:6" x14ac:dyDescent="0.2">
      <c r="A3" s="18" t="s">
        <v>45</v>
      </c>
      <c r="B3" s="18" t="s">
        <v>41</v>
      </c>
      <c r="C3" s="19"/>
      <c r="D3" s="19"/>
      <c r="E3" s="19"/>
      <c r="F3" s="19"/>
    </row>
    <row r="4" spans="1:6" x14ac:dyDescent="0.2">
      <c r="A4" s="12" t="s">
        <v>43</v>
      </c>
      <c r="B4" s="16" t="s">
        <v>12</v>
      </c>
      <c r="C4" s="16" t="s">
        <v>15</v>
      </c>
      <c r="D4" s="16" t="s">
        <v>18</v>
      </c>
      <c r="E4" s="16" t="s">
        <v>28</v>
      </c>
      <c r="F4" s="16" t="s">
        <v>42</v>
      </c>
    </row>
    <row r="5" spans="1:6" x14ac:dyDescent="0.2">
      <c r="A5" s="14" t="s">
        <v>39</v>
      </c>
      <c r="B5" s="15"/>
      <c r="C5" s="15">
        <v>2</v>
      </c>
      <c r="D5" s="15">
        <v>1</v>
      </c>
      <c r="E5" s="15"/>
      <c r="F5" s="15">
        <v>3</v>
      </c>
    </row>
    <row r="6" spans="1:6" x14ac:dyDescent="0.2">
      <c r="A6" s="14" t="s">
        <v>33</v>
      </c>
      <c r="B6" s="15">
        <v>2</v>
      </c>
      <c r="C6" s="15">
        <v>2</v>
      </c>
      <c r="D6" s="15"/>
      <c r="E6" s="15"/>
      <c r="F6" s="15">
        <v>4</v>
      </c>
    </row>
    <row r="7" spans="1:6" x14ac:dyDescent="0.2">
      <c r="A7" s="14" t="s">
        <v>38</v>
      </c>
      <c r="B7" s="15">
        <v>4</v>
      </c>
      <c r="C7" s="15"/>
      <c r="D7" s="15"/>
      <c r="E7" s="15"/>
      <c r="F7" s="15">
        <v>4</v>
      </c>
    </row>
    <row r="8" spans="1:6" x14ac:dyDescent="0.2">
      <c r="A8" s="14" t="s">
        <v>24</v>
      </c>
      <c r="B8" s="15"/>
      <c r="C8" s="15">
        <v>3</v>
      </c>
      <c r="D8" s="15"/>
      <c r="E8" s="15"/>
      <c r="F8" s="15">
        <v>3</v>
      </c>
    </row>
    <row r="9" spans="1:6" x14ac:dyDescent="0.2">
      <c r="A9" s="14" t="s">
        <v>11</v>
      </c>
      <c r="B9" s="15">
        <v>2</v>
      </c>
      <c r="C9" s="15">
        <v>4</v>
      </c>
      <c r="D9" s="15">
        <v>1</v>
      </c>
      <c r="E9" s="15"/>
      <c r="F9" s="15">
        <v>7</v>
      </c>
    </row>
    <row r="10" spans="1:6" x14ac:dyDescent="0.2">
      <c r="A10" s="14" t="s">
        <v>40</v>
      </c>
      <c r="B10" s="15">
        <v>2</v>
      </c>
      <c r="C10" s="15">
        <v>1</v>
      </c>
      <c r="D10" s="15"/>
      <c r="E10" s="15"/>
      <c r="F10" s="15">
        <v>3</v>
      </c>
    </row>
    <row r="11" spans="1:6" x14ac:dyDescent="0.2">
      <c r="A11" s="14" t="s">
        <v>27</v>
      </c>
      <c r="B11" s="15">
        <v>2</v>
      </c>
      <c r="C11" s="15"/>
      <c r="D11" s="15">
        <v>1</v>
      </c>
      <c r="E11" s="15">
        <v>1</v>
      </c>
      <c r="F11" s="15">
        <v>4</v>
      </c>
    </row>
    <row r="12" spans="1:6" x14ac:dyDescent="0.2">
      <c r="A12" s="14" t="s">
        <v>22</v>
      </c>
      <c r="B12" s="15">
        <v>1</v>
      </c>
      <c r="C12" s="15">
        <v>1</v>
      </c>
      <c r="D12" s="15">
        <v>2</v>
      </c>
      <c r="E12" s="15"/>
      <c r="F12" s="15">
        <v>4</v>
      </c>
    </row>
    <row r="13" spans="1:6" x14ac:dyDescent="0.2">
      <c r="A13" s="14" t="s">
        <v>36</v>
      </c>
      <c r="B13" s="15">
        <v>2</v>
      </c>
      <c r="C13" s="15">
        <v>6</v>
      </c>
      <c r="D13" s="15"/>
      <c r="E13" s="15">
        <v>1</v>
      </c>
      <c r="F13" s="15">
        <v>9</v>
      </c>
    </row>
    <row r="14" spans="1:6" x14ac:dyDescent="0.2">
      <c r="A14" s="14" t="s">
        <v>42</v>
      </c>
      <c r="B14" s="15">
        <v>15</v>
      </c>
      <c r="C14" s="15">
        <v>19</v>
      </c>
      <c r="D14" s="15">
        <v>5</v>
      </c>
      <c r="E14" s="15">
        <v>2</v>
      </c>
      <c r="F14" s="15">
        <v>41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3:F14"/>
  <sheetViews>
    <sheetView workbookViewId="0">
      <selection activeCell="F20" sqref="F20"/>
    </sheetView>
  </sheetViews>
  <sheetFormatPr baseColWidth="10" defaultRowHeight="12.75" x14ac:dyDescent="0.2"/>
  <cols>
    <col min="1" max="1" width="23.28515625" customWidth="1"/>
    <col min="2" max="6" width="14.7109375" customWidth="1"/>
  </cols>
  <sheetData>
    <row r="3" spans="1:6" x14ac:dyDescent="0.2">
      <c r="A3" s="18" t="s">
        <v>44</v>
      </c>
      <c r="B3" s="18" t="s">
        <v>41</v>
      </c>
      <c r="C3" s="19"/>
      <c r="D3" s="19"/>
      <c r="E3" s="19"/>
      <c r="F3" s="19"/>
    </row>
    <row r="4" spans="1:6" x14ac:dyDescent="0.2">
      <c r="A4" s="12" t="s">
        <v>43</v>
      </c>
      <c r="B4" s="16" t="s">
        <v>12</v>
      </c>
      <c r="C4" s="16" t="s">
        <v>15</v>
      </c>
      <c r="D4" s="16" t="s">
        <v>18</v>
      </c>
      <c r="E4" s="16" t="s">
        <v>28</v>
      </c>
      <c r="F4" s="16" t="s">
        <v>42</v>
      </c>
    </row>
    <row r="5" spans="1:6" x14ac:dyDescent="0.2">
      <c r="A5" s="14" t="s">
        <v>39</v>
      </c>
      <c r="B5" s="20">
        <v>0</v>
      </c>
      <c r="C5" s="20">
        <v>0.84007944278161628</v>
      </c>
      <c r="D5" s="20">
        <v>0.15992055721838372</v>
      </c>
      <c r="E5" s="20">
        <v>0</v>
      </c>
      <c r="F5" s="20">
        <v>1</v>
      </c>
    </row>
    <row r="6" spans="1:6" x14ac:dyDescent="0.2">
      <c r="A6" s="14" t="s">
        <v>33</v>
      </c>
      <c r="B6" s="20">
        <v>9.2665135755774675E-2</v>
      </c>
      <c r="C6" s="20">
        <v>0.90733486424422527</v>
      </c>
      <c r="D6" s="20">
        <v>0</v>
      </c>
      <c r="E6" s="20">
        <v>0</v>
      </c>
      <c r="F6" s="20">
        <v>1</v>
      </c>
    </row>
    <row r="7" spans="1:6" x14ac:dyDescent="0.2">
      <c r="A7" s="14" t="s">
        <v>38</v>
      </c>
      <c r="B7" s="20">
        <v>1</v>
      </c>
      <c r="C7" s="20">
        <v>0</v>
      </c>
      <c r="D7" s="20">
        <v>0</v>
      </c>
      <c r="E7" s="20">
        <v>0</v>
      </c>
      <c r="F7" s="20">
        <v>1</v>
      </c>
    </row>
    <row r="8" spans="1:6" x14ac:dyDescent="0.2">
      <c r="A8" s="14" t="s">
        <v>24</v>
      </c>
      <c r="B8" s="20">
        <v>0</v>
      </c>
      <c r="C8" s="20">
        <v>1</v>
      </c>
      <c r="D8" s="20">
        <v>0</v>
      </c>
      <c r="E8" s="20">
        <v>0</v>
      </c>
      <c r="F8" s="20">
        <v>1</v>
      </c>
    </row>
    <row r="9" spans="1:6" x14ac:dyDescent="0.2">
      <c r="A9" s="14" t="s">
        <v>11</v>
      </c>
      <c r="B9" s="20">
        <v>7.6587524147815791E-2</v>
      </c>
      <c r="C9" s="20">
        <v>0.89371845204711176</v>
      </c>
      <c r="D9" s="20">
        <v>2.9694023805072599E-2</v>
      </c>
      <c r="E9" s="20">
        <v>0</v>
      </c>
      <c r="F9" s="20">
        <v>1</v>
      </c>
    </row>
    <row r="10" spans="1:6" x14ac:dyDescent="0.2">
      <c r="A10" s="14" t="s">
        <v>40</v>
      </c>
      <c r="B10" s="20">
        <v>0.43104065745575182</v>
      </c>
      <c r="C10" s="20">
        <v>0.56895934254424829</v>
      </c>
      <c r="D10" s="20">
        <v>0</v>
      </c>
      <c r="E10" s="20">
        <v>0</v>
      </c>
      <c r="F10" s="20">
        <v>1</v>
      </c>
    </row>
    <row r="11" spans="1:6" x14ac:dyDescent="0.2">
      <c r="A11" s="14" t="s">
        <v>27</v>
      </c>
      <c r="B11" s="20">
        <v>0.28215120810600158</v>
      </c>
      <c r="C11" s="20">
        <v>0</v>
      </c>
      <c r="D11" s="20">
        <v>0.49506365289685639</v>
      </c>
      <c r="E11" s="20">
        <v>0.22278513899714211</v>
      </c>
      <c r="F11" s="20">
        <v>1</v>
      </c>
    </row>
    <row r="12" spans="1:6" x14ac:dyDescent="0.2">
      <c r="A12" s="14" t="s">
        <v>22</v>
      </c>
      <c r="B12" s="20">
        <v>0.20552459703996645</v>
      </c>
      <c r="C12" s="20">
        <v>0.13564323806099826</v>
      </c>
      <c r="D12" s="20">
        <v>0.65883216489903529</v>
      </c>
      <c r="E12" s="20">
        <v>0</v>
      </c>
      <c r="F12" s="20">
        <v>1</v>
      </c>
    </row>
    <row r="13" spans="1:6" x14ac:dyDescent="0.2">
      <c r="A13" s="14" t="s">
        <v>36</v>
      </c>
      <c r="B13" s="20">
        <v>4.8592806734121252E-2</v>
      </c>
      <c r="C13" s="20">
        <v>0.80558625967179665</v>
      </c>
      <c r="D13" s="20">
        <v>0</v>
      </c>
      <c r="E13" s="20">
        <v>0.14582093359408213</v>
      </c>
      <c r="F13" s="20">
        <v>1</v>
      </c>
    </row>
    <row r="14" spans="1:6" x14ac:dyDescent="0.2">
      <c r="A14" s="14" t="s">
        <v>42</v>
      </c>
      <c r="B14" s="20">
        <v>0.26236779048558145</v>
      </c>
      <c r="C14" s="20">
        <v>0.59658979087919195</v>
      </c>
      <c r="D14" s="20">
        <v>0.12016482947939934</v>
      </c>
      <c r="E14" s="20">
        <v>2.0877589155827155E-2</v>
      </c>
      <c r="F14" s="20">
        <v>1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3:F14"/>
  <sheetViews>
    <sheetView workbookViewId="0">
      <selection activeCell="F20" sqref="F20"/>
    </sheetView>
  </sheetViews>
  <sheetFormatPr baseColWidth="10" defaultRowHeight="12.75" x14ac:dyDescent="0.2"/>
  <cols>
    <col min="1" max="1" width="23.28515625" customWidth="1"/>
    <col min="2" max="6" width="14.7109375" customWidth="1"/>
  </cols>
  <sheetData>
    <row r="3" spans="1:6" x14ac:dyDescent="0.2">
      <c r="A3" s="18" t="s">
        <v>44</v>
      </c>
      <c r="B3" s="18" t="s">
        <v>41</v>
      </c>
      <c r="C3" s="19"/>
      <c r="D3" s="19"/>
      <c r="E3" s="19"/>
      <c r="F3" s="19"/>
    </row>
    <row r="4" spans="1:6" x14ac:dyDescent="0.2">
      <c r="A4" s="12" t="s">
        <v>43</v>
      </c>
      <c r="B4" s="16" t="s">
        <v>12</v>
      </c>
      <c r="C4" s="16" t="s">
        <v>15</v>
      </c>
      <c r="D4" s="16" t="s">
        <v>18</v>
      </c>
      <c r="E4" s="16" t="s">
        <v>28</v>
      </c>
      <c r="F4" s="16" t="s">
        <v>42</v>
      </c>
    </row>
    <row r="5" spans="1:6" x14ac:dyDescent="0.2">
      <c r="A5" s="14" t="s">
        <v>39</v>
      </c>
      <c r="B5" s="20">
        <v>0</v>
      </c>
      <c r="C5" s="20">
        <v>0.1021347217923909</v>
      </c>
      <c r="D5" s="20">
        <v>9.6528551649613353E-2</v>
      </c>
      <c r="E5" s="20">
        <v>0</v>
      </c>
      <c r="F5" s="20">
        <v>7.2531869264496118E-2</v>
      </c>
    </row>
    <row r="6" spans="1:6" x14ac:dyDescent="0.2">
      <c r="A6" s="14" t="s">
        <v>33</v>
      </c>
      <c r="B6" s="20">
        <v>2.6524583571771038E-2</v>
      </c>
      <c r="C6" s="20">
        <v>0.11421798852548777</v>
      </c>
      <c r="D6" s="20">
        <v>0</v>
      </c>
      <c r="E6" s="20">
        <v>0</v>
      </c>
      <c r="F6" s="20">
        <v>7.5100482274338423E-2</v>
      </c>
    </row>
    <row r="7" spans="1:6" x14ac:dyDescent="0.2">
      <c r="A7" s="14" t="s">
        <v>38</v>
      </c>
      <c r="B7" s="20">
        <v>0.60124967134262342</v>
      </c>
      <c r="C7" s="20">
        <v>0</v>
      </c>
      <c r="D7" s="20">
        <v>0</v>
      </c>
      <c r="E7" s="20">
        <v>0</v>
      </c>
      <c r="F7" s="20">
        <v>0.15774854780034611</v>
      </c>
    </row>
    <row r="8" spans="1:6" x14ac:dyDescent="0.2">
      <c r="A8" s="14" t="s">
        <v>24</v>
      </c>
      <c r="B8" s="20">
        <v>0</v>
      </c>
      <c r="C8" s="20">
        <v>0.3262175940253636</v>
      </c>
      <c r="D8" s="20">
        <v>0</v>
      </c>
      <c r="E8" s="20">
        <v>0</v>
      </c>
      <c r="F8" s="20">
        <v>0.19461808620070481</v>
      </c>
    </row>
    <row r="9" spans="1:6" x14ac:dyDescent="0.2">
      <c r="A9" s="14" t="s">
        <v>11</v>
      </c>
      <c r="B9" s="20">
        <v>3.8015992081290501E-2</v>
      </c>
      <c r="C9" s="20">
        <v>0.19509391483558527</v>
      </c>
      <c r="D9" s="20">
        <v>3.2181812042008574E-2</v>
      </c>
      <c r="E9" s="20">
        <v>0</v>
      </c>
      <c r="F9" s="20">
        <v>0.13023233165541628</v>
      </c>
    </row>
    <row r="10" spans="1:6" x14ac:dyDescent="0.2">
      <c r="A10" s="14" t="s">
        <v>40</v>
      </c>
      <c r="B10" s="20">
        <v>0.17684086796479889</v>
      </c>
      <c r="C10" s="20">
        <v>0.10265505385266781</v>
      </c>
      <c r="D10" s="20">
        <v>0</v>
      </c>
      <c r="E10" s="20">
        <v>0</v>
      </c>
      <c r="F10" s="20">
        <v>0.10764030490613199</v>
      </c>
    </row>
    <row r="11" spans="1:6" x14ac:dyDescent="0.2">
      <c r="A11" s="14" t="s">
        <v>27</v>
      </c>
      <c r="B11" s="20">
        <v>3.3592650447747348E-2</v>
      </c>
      <c r="C11" s="20">
        <v>0</v>
      </c>
      <c r="D11" s="20">
        <v>0.12869347921520954</v>
      </c>
      <c r="E11" s="20">
        <v>0.33333333333333331</v>
      </c>
      <c r="F11" s="20">
        <v>3.1237255844811941E-2</v>
      </c>
    </row>
    <row r="12" spans="1:6" x14ac:dyDescent="0.2">
      <c r="A12" s="14" t="s">
        <v>22</v>
      </c>
      <c r="B12" s="20">
        <v>0.10609833428708415</v>
      </c>
      <c r="C12" s="20">
        <v>3.0794815724230807E-2</v>
      </c>
      <c r="D12" s="20">
        <v>0.74259615709316851</v>
      </c>
      <c r="E12" s="20">
        <v>0</v>
      </c>
      <c r="F12" s="20">
        <v>0.13544259880334283</v>
      </c>
    </row>
    <row r="13" spans="1:6" x14ac:dyDescent="0.2">
      <c r="A13" s="14" t="s">
        <v>36</v>
      </c>
      <c r="B13" s="20">
        <v>1.7677900304684722E-2</v>
      </c>
      <c r="C13" s="20">
        <v>0.12888591124427376</v>
      </c>
      <c r="D13" s="20">
        <v>0</v>
      </c>
      <c r="E13" s="20">
        <v>0.66666666666666663</v>
      </c>
      <c r="F13" s="20">
        <v>9.5448523250411338E-2</v>
      </c>
    </row>
    <row r="14" spans="1:6" x14ac:dyDescent="0.2">
      <c r="A14" s="14" t="s">
        <v>42</v>
      </c>
      <c r="B14" s="20">
        <v>1</v>
      </c>
      <c r="C14" s="20">
        <v>1</v>
      </c>
      <c r="D14" s="20">
        <v>1</v>
      </c>
      <c r="E14" s="20">
        <v>1</v>
      </c>
      <c r="F14" s="20">
        <v>1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3:F14"/>
  <sheetViews>
    <sheetView workbookViewId="0">
      <selection activeCell="E22" sqref="E22"/>
    </sheetView>
  </sheetViews>
  <sheetFormatPr baseColWidth="10" defaultRowHeight="12.75" x14ac:dyDescent="0.2"/>
  <cols>
    <col min="1" max="1" width="23.28515625" customWidth="1"/>
    <col min="2" max="6" width="14.7109375" customWidth="1"/>
  </cols>
  <sheetData>
    <row r="3" spans="1:6" x14ac:dyDescent="0.2">
      <c r="A3" s="18" t="s">
        <v>46</v>
      </c>
      <c r="B3" s="18" t="s">
        <v>41</v>
      </c>
      <c r="C3" s="19"/>
      <c r="D3" s="19"/>
      <c r="E3" s="19"/>
      <c r="F3" s="19"/>
    </row>
    <row r="4" spans="1:6" x14ac:dyDescent="0.2">
      <c r="A4" s="12" t="s">
        <v>43</v>
      </c>
      <c r="B4" s="16" t="s">
        <v>12</v>
      </c>
      <c r="C4" s="16" t="s">
        <v>15</v>
      </c>
      <c r="D4" s="16" t="s">
        <v>18</v>
      </c>
      <c r="E4" s="16" t="s">
        <v>28</v>
      </c>
      <c r="F4" s="16" t="s">
        <v>42</v>
      </c>
    </row>
    <row r="5" spans="1:6" x14ac:dyDescent="0.2">
      <c r="A5" s="14" t="s">
        <v>39</v>
      </c>
      <c r="B5" s="17"/>
      <c r="C5" s="17">
        <v>150.16</v>
      </c>
      <c r="D5" s="17">
        <v>57.17</v>
      </c>
      <c r="E5" s="17"/>
      <c r="F5" s="17">
        <v>119.16333333333334</v>
      </c>
    </row>
    <row r="6" spans="1:6" x14ac:dyDescent="0.2">
      <c r="A6" s="14" t="s">
        <v>33</v>
      </c>
      <c r="B6" s="17">
        <v>17.149999999999999</v>
      </c>
      <c r="C6" s="17">
        <v>167.92500000000001</v>
      </c>
      <c r="D6" s="17"/>
      <c r="E6" s="17"/>
      <c r="F6" s="17">
        <v>92.537499999999994</v>
      </c>
    </row>
    <row r="7" spans="1:6" x14ac:dyDescent="0.2">
      <c r="A7" s="14" t="s">
        <v>38</v>
      </c>
      <c r="B7" s="17">
        <v>194.375</v>
      </c>
      <c r="C7" s="17"/>
      <c r="D7" s="17"/>
      <c r="E7" s="17"/>
      <c r="F7" s="17">
        <v>194.375</v>
      </c>
    </row>
    <row r="8" spans="1:6" x14ac:dyDescent="0.2">
      <c r="A8" s="14" t="s">
        <v>24</v>
      </c>
      <c r="B8" s="17"/>
      <c r="C8" s="17">
        <v>319.73999999999995</v>
      </c>
      <c r="D8" s="17"/>
      <c r="E8" s="17"/>
      <c r="F8" s="17">
        <v>319.73999999999995</v>
      </c>
    </row>
    <row r="9" spans="1:6" x14ac:dyDescent="0.2">
      <c r="A9" s="14" t="s">
        <v>11</v>
      </c>
      <c r="B9" s="17">
        <v>24.58</v>
      </c>
      <c r="C9" s="17">
        <v>143.41500000000002</v>
      </c>
      <c r="D9" s="17">
        <v>19.059999999999999</v>
      </c>
      <c r="E9" s="17"/>
      <c r="F9" s="17">
        <v>91.697142857142836</v>
      </c>
    </row>
    <row r="10" spans="1:6" x14ac:dyDescent="0.2">
      <c r="A10" s="14" t="s">
        <v>40</v>
      </c>
      <c r="B10" s="17">
        <v>114.34</v>
      </c>
      <c r="C10" s="17">
        <v>301.85000000000002</v>
      </c>
      <c r="D10" s="17"/>
      <c r="E10" s="17"/>
      <c r="F10" s="17">
        <v>176.84333333333333</v>
      </c>
    </row>
    <row r="11" spans="1:6" x14ac:dyDescent="0.2">
      <c r="A11" s="14" t="s">
        <v>27</v>
      </c>
      <c r="B11" s="17">
        <v>21.72</v>
      </c>
      <c r="C11" s="17"/>
      <c r="D11" s="17">
        <v>76.22</v>
      </c>
      <c r="E11" s="17">
        <v>34.299999999999997</v>
      </c>
      <c r="F11" s="17">
        <v>38.489999999999995</v>
      </c>
    </row>
    <row r="12" spans="1:6" x14ac:dyDescent="0.2">
      <c r="A12" s="14" t="s">
        <v>22</v>
      </c>
      <c r="B12" s="17">
        <v>137.19999999999999</v>
      </c>
      <c r="C12" s="17">
        <v>90.55</v>
      </c>
      <c r="D12" s="17">
        <v>219.90499999999997</v>
      </c>
      <c r="E12" s="17"/>
      <c r="F12" s="17">
        <v>166.89</v>
      </c>
    </row>
    <row r="13" spans="1:6" x14ac:dyDescent="0.2">
      <c r="A13" s="14" t="s">
        <v>36</v>
      </c>
      <c r="B13" s="17">
        <v>11.43</v>
      </c>
      <c r="C13" s="17">
        <v>63.163333333333327</v>
      </c>
      <c r="D13" s="17"/>
      <c r="E13" s="17">
        <v>68.599999999999994</v>
      </c>
      <c r="F13" s="17">
        <v>52.271111111111104</v>
      </c>
    </row>
    <row r="14" spans="1:6" x14ac:dyDescent="0.2">
      <c r="A14" s="14" t="s">
        <v>42</v>
      </c>
      <c r="B14" s="17">
        <v>86.209333333333333</v>
      </c>
      <c r="C14" s="17">
        <v>154.75947368421052</v>
      </c>
      <c r="D14" s="17">
        <v>118.452</v>
      </c>
      <c r="E14" s="17">
        <v>51.449999999999996</v>
      </c>
      <c r="F14" s="17">
        <v>120.21292682926826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39997558519241921"/>
  </sheetPr>
  <dimension ref="A3:B13"/>
  <sheetViews>
    <sheetView workbookViewId="0">
      <selection activeCell="A25" sqref="A25"/>
    </sheetView>
  </sheetViews>
  <sheetFormatPr baseColWidth="10" defaultRowHeight="12.75" x14ac:dyDescent="0.2"/>
  <cols>
    <col min="1" max="1" width="23.28515625" customWidth="1"/>
    <col min="2" max="2" width="17.140625" customWidth="1"/>
    <col min="3" max="6" width="14.7109375" customWidth="1"/>
  </cols>
  <sheetData>
    <row r="3" spans="1:2" x14ac:dyDescent="0.2">
      <c r="A3" s="12" t="s">
        <v>43</v>
      </c>
      <c r="B3" s="16" t="s">
        <v>46</v>
      </c>
    </row>
    <row r="4" spans="1:2" x14ac:dyDescent="0.2">
      <c r="A4" s="14" t="s">
        <v>39</v>
      </c>
      <c r="B4" s="17">
        <v>119.16333333333334</v>
      </c>
    </row>
    <row r="5" spans="1:2" x14ac:dyDescent="0.2">
      <c r="A5" s="14" t="s">
        <v>33</v>
      </c>
      <c r="B5" s="17">
        <v>92.537499999999994</v>
      </c>
    </row>
    <row r="6" spans="1:2" x14ac:dyDescent="0.2">
      <c r="A6" s="14" t="s">
        <v>38</v>
      </c>
      <c r="B6" s="17">
        <v>194.375</v>
      </c>
    </row>
    <row r="7" spans="1:2" x14ac:dyDescent="0.2">
      <c r="A7" s="14" t="s">
        <v>24</v>
      </c>
      <c r="B7" s="17">
        <v>319.73999999999995</v>
      </c>
    </row>
    <row r="8" spans="1:2" x14ac:dyDescent="0.2">
      <c r="A8" s="14" t="s">
        <v>11</v>
      </c>
      <c r="B8" s="17">
        <v>91.69714285714285</v>
      </c>
    </row>
    <row r="9" spans="1:2" x14ac:dyDescent="0.2">
      <c r="A9" s="14" t="s">
        <v>40</v>
      </c>
      <c r="B9" s="17">
        <v>176.84333333333333</v>
      </c>
    </row>
    <row r="10" spans="1:2" x14ac:dyDescent="0.2">
      <c r="A10" s="14" t="s">
        <v>27</v>
      </c>
      <c r="B10" s="17">
        <v>38.489999999999995</v>
      </c>
    </row>
    <row r="11" spans="1:2" x14ac:dyDescent="0.2">
      <c r="A11" s="14" t="s">
        <v>22</v>
      </c>
      <c r="B11" s="17">
        <v>166.89</v>
      </c>
    </row>
    <row r="12" spans="1:2" x14ac:dyDescent="0.2">
      <c r="A12" s="14" t="s">
        <v>36</v>
      </c>
      <c r="B12" s="17">
        <v>52.271111111111111</v>
      </c>
    </row>
    <row r="13" spans="1:2" x14ac:dyDescent="0.2">
      <c r="A13" s="14" t="s">
        <v>42</v>
      </c>
      <c r="B13" s="17">
        <v>120.21292682926833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B27" sqref="B27"/>
    </sheetView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B27" sqref="B27"/>
    </sheetView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detail</vt:lpstr>
      <vt:lpstr>TCD1</vt:lpstr>
      <vt:lpstr>TCD2</vt:lpstr>
      <vt:lpstr>TCD3</vt:lpstr>
      <vt:lpstr>TCD4</vt:lpstr>
      <vt:lpstr>TCD5</vt:lpstr>
      <vt:lpstr>TCD6</vt:lpstr>
      <vt:lpstr>TCD7</vt:lpstr>
      <vt:lpstr>TCD8</vt:lpstr>
      <vt:lpstr>TCD9</vt:lpstr>
      <vt:lpstr>Feuil1</vt:lpstr>
      <vt:lpstr>Feuil2</vt:lpstr>
      <vt:lpstr>detail!Copie_de_CORPS_FACTURE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cp:lastPrinted>2006-12-07T21:00:36Z</cp:lastPrinted>
  <dcterms:created xsi:type="dcterms:W3CDTF">2002-06-16T15:20:57Z</dcterms:created>
  <dcterms:modified xsi:type="dcterms:W3CDTF">2022-10-23T18:33:12Z</dcterms:modified>
</cp:coreProperties>
</file>